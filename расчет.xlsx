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8CE7B276-ACBF-4133-9158-A684B5C5BCC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Расчет" sheetId="1" r:id="rId1"/>
    <sheet name="валюта" sheetId="3" r:id="rId2"/>
    <sheet name="техлист" sheetId="2" state="hidden" r:id="rId3"/>
  </sheets>
  <definedNames>
    <definedName name="_xlnm.Print_Area" localSheetId="0">Расчет!$A1:$AL77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4" i="1" l="1"/>
  <c r="V15" i="1"/>
  <c r="V16" i="1"/>
  <c r="V17" i="1"/>
  <c r="V18" i="1"/>
  <c r="V19" i="1"/>
  <c r="V20" i="1"/>
  <c r="V21" i="1"/>
  <c r="W14" i="1"/>
  <c r="W15" i="1"/>
  <c r="W16" i="1"/>
  <c r="W17" i="1"/>
  <c r="W18" i="1"/>
  <c r="W19" i="1"/>
  <c r="W20" i="1"/>
  <c r="W21" i="1"/>
  <c r="T14" i="1"/>
  <c r="T15" i="1"/>
  <c r="T16" i="1"/>
  <c r="T17" i="1"/>
  <c r="T18" i="1"/>
  <c r="T19" i="1"/>
  <c r="T20" i="1"/>
  <c r="T21" i="1"/>
  <c r="J47" i="1"/>
  <c r="J46" i="1"/>
  <c r="T46" i="1" s="1"/>
  <c r="W46" i="1" s="1"/>
  <c r="J45" i="1"/>
  <c r="L45" i="1" s="1"/>
  <c r="K14" i="1"/>
  <c r="K15" i="1"/>
  <c r="K16" i="1"/>
  <c r="K17" i="1"/>
  <c r="K18" i="1"/>
  <c r="K19" i="1"/>
  <c r="K20" i="1"/>
  <c r="K21" i="1"/>
  <c r="K9" i="1"/>
  <c r="C74" i="1"/>
  <c r="D74" i="1" s="1"/>
  <c r="B74" i="1"/>
  <c r="C73" i="1"/>
  <c r="D73" i="1" s="1"/>
  <c r="B73" i="1"/>
  <c r="C72" i="1"/>
  <c r="D72" i="1" s="1"/>
  <c r="B72" i="1"/>
  <c r="C71" i="1"/>
  <c r="D71" i="1" s="1"/>
  <c r="B71" i="1"/>
  <c r="D70" i="1"/>
  <c r="F65" i="1"/>
  <c r="F64" i="1"/>
  <c r="F63" i="1"/>
  <c r="E62" i="1"/>
  <c r="D62" i="1"/>
  <c r="K59" i="1"/>
  <c r="I59" i="1"/>
  <c r="G61" i="1" s="1"/>
  <c r="U58" i="1"/>
  <c r="Y58" i="1" s="1"/>
  <c r="P58" i="1"/>
  <c r="O58" i="1"/>
  <c r="J58" i="1"/>
  <c r="L58" i="1" s="1"/>
  <c r="M58" i="1" s="1"/>
  <c r="U57" i="1"/>
  <c r="Y57" i="1" s="1"/>
  <c r="P57" i="1"/>
  <c r="O57" i="1"/>
  <c r="J57" i="1"/>
  <c r="L57" i="1" s="1"/>
  <c r="M57" i="1" s="1"/>
  <c r="U56" i="1"/>
  <c r="Y56" i="1" s="1"/>
  <c r="P56" i="1"/>
  <c r="O56" i="1"/>
  <c r="J56" i="1"/>
  <c r="L56" i="1" s="1"/>
  <c r="M56" i="1" s="1"/>
  <c r="U55" i="1"/>
  <c r="Y55" i="1" s="1"/>
  <c r="P55" i="1"/>
  <c r="O55" i="1"/>
  <c r="Q55" i="1" s="1"/>
  <c r="J55" i="1"/>
  <c r="L55" i="1" s="1"/>
  <c r="U54" i="1"/>
  <c r="Y54" i="1" s="1"/>
  <c r="P54" i="1"/>
  <c r="O54" i="1"/>
  <c r="Q54" i="1" s="1"/>
  <c r="J54" i="1"/>
  <c r="L54" i="1" s="1"/>
  <c r="U53" i="1"/>
  <c r="Y53" i="1" s="1"/>
  <c r="P53" i="1"/>
  <c r="O53" i="1"/>
  <c r="Q53" i="1" s="1"/>
  <c r="J53" i="1"/>
  <c r="L53" i="1" s="1"/>
  <c r="U52" i="1"/>
  <c r="Y52" i="1" s="1"/>
  <c r="P52" i="1"/>
  <c r="O52" i="1"/>
  <c r="Q52" i="1" s="1"/>
  <c r="J52" i="1"/>
  <c r="L52" i="1" s="1"/>
  <c r="M52" i="1" s="1"/>
  <c r="U51" i="1"/>
  <c r="Y51" i="1" s="1"/>
  <c r="P51" i="1"/>
  <c r="O51" i="1"/>
  <c r="Q51" i="1" s="1"/>
  <c r="J51" i="1"/>
  <c r="L51" i="1" s="1"/>
  <c r="M51" i="1" s="1"/>
  <c r="U50" i="1"/>
  <c r="P50" i="1"/>
  <c r="O50" i="1"/>
  <c r="Q50" i="1" s="1"/>
  <c r="J50" i="1"/>
  <c r="L50" i="1" s="1"/>
  <c r="U49" i="1"/>
  <c r="Y49" i="1" s="1"/>
  <c r="P49" i="1"/>
  <c r="O49" i="1"/>
  <c r="J49" i="1"/>
  <c r="L49" i="1" s="1"/>
  <c r="M49" i="1" s="1"/>
  <c r="U48" i="1"/>
  <c r="Y48" i="1" s="1"/>
  <c r="P48" i="1"/>
  <c r="O48" i="1"/>
  <c r="J48" i="1"/>
  <c r="L48" i="1" s="1"/>
  <c r="U47" i="1"/>
  <c r="V47" i="1" s="1"/>
  <c r="P47" i="1"/>
  <c r="O47" i="1"/>
  <c r="L47" i="1"/>
  <c r="U46" i="1"/>
  <c r="Y46" i="1" s="1"/>
  <c r="Q46" i="1"/>
  <c r="P46" i="1"/>
  <c r="O46" i="1"/>
  <c r="U45" i="1"/>
  <c r="Y45" i="1" s="1"/>
  <c r="Q45" i="1"/>
  <c r="P45" i="1"/>
  <c r="O45" i="1"/>
  <c r="C38" i="1"/>
  <c r="D37" i="1"/>
  <c r="D36" i="1"/>
  <c r="D35" i="1"/>
  <c r="D34" i="1"/>
  <c r="D33" i="1"/>
  <c r="E25" i="1"/>
  <c r="R21" i="1"/>
  <c r="J21" i="1"/>
  <c r="I21" i="1"/>
  <c r="Y21" i="1" s="1"/>
  <c r="R20" i="1"/>
  <c r="J20" i="1"/>
  <c r="I20" i="1"/>
  <c r="R19" i="1"/>
  <c r="J19" i="1"/>
  <c r="I19" i="1"/>
  <c r="Y18" i="1"/>
  <c r="R18" i="1"/>
  <c r="S18" i="1" s="1"/>
  <c r="J18" i="1"/>
  <c r="I18" i="1"/>
  <c r="M18" i="1" s="1"/>
  <c r="R17" i="1"/>
  <c r="J17" i="1"/>
  <c r="I17" i="1"/>
  <c r="M17" i="1" s="1"/>
  <c r="R16" i="1"/>
  <c r="S16" i="1" s="1"/>
  <c r="J16" i="1"/>
  <c r="I16" i="1"/>
  <c r="M16" i="1" s="1"/>
  <c r="R15" i="1"/>
  <c r="J15" i="1"/>
  <c r="I15" i="1"/>
  <c r="Y15" i="1" s="1"/>
  <c r="R14" i="1"/>
  <c r="J14" i="1"/>
  <c r="I14" i="1"/>
  <c r="Y14" i="1" s="1"/>
  <c r="V13" i="1"/>
  <c r="R13" i="1"/>
  <c r="K13" i="1"/>
  <c r="J13" i="1"/>
  <c r="T13" i="1" s="1"/>
  <c r="W13" i="1" s="1"/>
  <c r="I13" i="1"/>
  <c r="Y13" i="1" s="1"/>
  <c r="Y12" i="1"/>
  <c r="V12" i="1"/>
  <c r="R12" i="1"/>
  <c r="K12" i="1"/>
  <c r="J12" i="1"/>
  <c r="T12" i="1" s="1"/>
  <c r="W12" i="1" s="1"/>
  <c r="I12" i="1"/>
  <c r="M12" i="1" s="1"/>
  <c r="Y11" i="1"/>
  <c r="V11" i="1"/>
  <c r="R11" i="1"/>
  <c r="S11" i="1" s="1"/>
  <c r="M11" i="1"/>
  <c r="K11" i="1"/>
  <c r="J11" i="1"/>
  <c r="T11" i="1" s="1"/>
  <c r="W11" i="1" s="1"/>
  <c r="Y10" i="1"/>
  <c r="V10" i="1"/>
  <c r="R10" i="1"/>
  <c r="S10" i="1" s="1"/>
  <c r="M10" i="1"/>
  <c r="K10" i="1"/>
  <c r="J10" i="1"/>
  <c r="T10" i="1" s="1"/>
  <c r="W10" i="1" s="1"/>
  <c r="Y9" i="1"/>
  <c r="V9" i="1"/>
  <c r="R9" i="1"/>
  <c r="S9" i="1" s="1"/>
  <c r="M9" i="1"/>
  <c r="J9" i="1"/>
  <c r="T9" i="1" s="1"/>
  <c r="W9" i="1" s="1"/>
  <c r="Y8" i="1"/>
  <c r="V8" i="1"/>
  <c r="R8" i="1"/>
  <c r="S8" i="1" s="1"/>
  <c r="M8" i="1"/>
  <c r="J8" i="1"/>
  <c r="T8" i="1" s="1"/>
  <c r="W8" i="1" s="1"/>
  <c r="L46" i="1" l="1"/>
  <c r="M46" i="1" s="1"/>
  <c r="M15" i="1"/>
  <c r="Q57" i="1"/>
  <c r="M13" i="1"/>
  <c r="S19" i="1"/>
  <c r="Q49" i="1"/>
  <c r="M14" i="1"/>
  <c r="R45" i="1"/>
  <c r="S45" i="1" s="1"/>
  <c r="Z45" i="1" s="1"/>
  <c r="AA45" i="1" s="1"/>
  <c r="R53" i="1"/>
  <c r="S53" i="1" s="1"/>
  <c r="Z53" i="1" s="1"/>
  <c r="S15" i="1"/>
  <c r="S14" i="1"/>
  <c r="Z14" i="1" s="1"/>
  <c r="Y16" i="1"/>
  <c r="Z16" i="1" s="1"/>
  <c r="Z18" i="1"/>
  <c r="AB18" i="1" s="1"/>
  <c r="Q58" i="1"/>
  <c r="I22" i="1"/>
  <c r="G24" i="1" s="1"/>
  <c r="Y47" i="1"/>
  <c r="Q56" i="1"/>
  <c r="R56" i="1" s="1"/>
  <c r="S56" i="1" s="1"/>
  <c r="Z56" i="1" s="1"/>
  <c r="Y19" i="1"/>
  <c r="Z19" i="1" s="1"/>
  <c r="D38" i="1"/>
  <c r="Q48" i="1"/>
  <c r="Z11" i="1"/>
  <c r="AB11" i="1" s="1"/>
  <c r="S17" i="1"/>
  <c r="S20" i="1"/>
  <c r="S13" i="1"/>
  <c r="Z13" i="1" s="1"/>
  <c r="Y17" i="1"/>
  <c r="G62" i="1"/>
  <c r="T49" i="1"/>
  <c r="W49" i="1" s="1"/>
  <c r="K8" i="1"/>
  <c r="K22" i="1" s="1"/>
  <c r="Z10" i="1"/>
  <c r="AA10" i="1" s="1"/>
  <c r="S12" i="1"/>
  <c r="Z12" i="1" s="1"/>
  <c r="Y20" i="1"/>
  <c r="R51" i="1"/>
  <c r="S51" i="1" s="1"/>
  <c r="Z51" i="1" s="1"/>
  <c r="R58" i="1"/>
  <c r="S58" i="1" s="1"/>
  <c r="Z58" i="1" s="1"/>
  <c r="R49" i="1"/>
  <c r="S49" i="1" s="1"/>
  <c r="Z49" i="1" s="1"/>
  <c r="R52" i="1"/>
  <c r="S52" i="1" s="1"/>
  <c r="R57" i="1"/>
  <c r="S57" i="1" s="1"/>
  <c r="Z57" i="1" s="1"/>
  <c r="T45" i="1"/>
  <c r="W45" i="1" s="1"/>
  <c r="V45" i="1"/>
  <c r="M54" i="1"/>
  <c r="R54" i="1"/>
  <c r="S54" i="1" s="1"/>
  <c r="Z54" i="1" s="1"/>
  <c r="R47" i="1"/>
  <c r="S47" i="1" s="1"/>
  <c r="Z47" i="1" s="1"/>
  <c r="M47" i="1"/>
  <c r="AB19" i="1"/>
  <c r="AA19" i="1"/>
  <c r="Z8" i="1"/>
  <c r="V48" i="1"/>
  <c r="T50" i="1"/>
  <c r="W50" i="1" s="1"/>
  <c r="Y50" i="1"/>
  <c r="Y59" i="1" s="1"/>
  <c r="F61" i="1" s="1"/>
  <c r="R55" i="1"/>
  <c r="S55" i="1" s="1"/>
  <c r="Z55" i="1" s="1"/>
  <c r="M55" i="1"/>
  <c r="R50" i="1"/>
  <c r="S50" i="1" s="1"/>
  <c r="M50" i="1"/>
  <c r="Z9" i="1"/>
  <c r="V50" i="1"/>
  <c r="R48" i="1"/>
  <c r="S48" i="1" s="1"/>
  <c r="M48" i="1"/>
  <c r="M45" i="1"/>
  <c r="M53" i="1"/>
  <c r="Z15" i="1"/>
  <c r="Z52" i="1"/>
  <c r="T48" i="1"/>
  <c r="W48" i="1" s="1"/>
  <c r="D75" i="1"/>
  <c r="M21" i="1"/>
  <c r="M20" i="1"/>
  <c r="M19" i="1"/>
  <c r="M22" i="1" s="1"/>
  <c r="T47" i="1"/>
  <c r="W47" i="1" s="1"/>
  <c r="V49" i="1"/>
  <c r="C75" i="1"/>
  <c r="V46" i="1"/>
  <c r="S21" i="1"/>
  <c r="Z21" i="1" s="1"/>
  <c r="R46" i="1" l="1"/>
  <c r="S46" i="1" s="1"/>
  <c r="Z46" i="1" s="1"/>
  <c r="AA46" i="1" s="1"/>
  <c r="Z20" i="1"/>
  <c r="AB20" i="1" s="1"/>
  <c r="G25" i="1"/>
  <c r="Z17" i="1"/>
  <c r="Z22" i="1" s="1"/>
  <c r="AB45" i="1"/>
  <c r="AB10" i="1"/>
  <c r="AB12" i="1"/>
  <c r="AA12" i="1"/>
  <c r="AA18" i="1"/>
  <c r="Y22" i="1"/>
  <c r="F24" i="1" s="1"/>
  <c r="AA11" i="1"/>
  <c r="AA55" i="1"/>
  <c r="AB55" i="1"/>
  <c r="S22" i="1"/>
  <c r="E37" i="1"/>
  <c r="E35" i="1"/>
  <c r="E36" i="1"/>
  <c r="G27" i="1"/>
  <c r="D27" i="1" s="1"/>
  <c r="G26" i="1"/>
  <c r="E34" i="1"/>
  <c r="E33" i="1"/>
  <c r="AB52" i="1"/>
  <c r="AA52" i="1"/>
  <c r="AB21" i="1"/>
  <c r="AA21" i="1"/>
  <c r="AA54" i="1"/>
  <c r="AB54" i="1"/>
  <c r="AB15" i="1"/>
  <c r="AA15" i="1"/>
  <c r="AB57" i="1"/>
  <c r="AA57" i="1"/>
  <c r="AB8" i="1"/>
  <c r="AA8" i="1"/>
  <c r="Z50" i="1"/>
  <c r="AB9" i="1"/>
  <c r="AA9" i="1"/>
  <c r="AB14" i="1"/>
  <c r="AA14" i="1"/>
  <c r="AB16" i="1"/>
  <c r="AA16" i="1"/>
  <c r="AB53" i="1"/>
  <c r="AA53" i="1"/>
  <c r="Z48" i="1"/>
  <c r="AB58" i="1"/>
  <c r="AA58" i="1"/>
  <c r="AA13" i="1"/>
  <c r="AB13" i="1"/>
  <c r="AB51" i="1"/>
  <c r="AA51" i="1"/>
  <c r="AB56" i="1"/>
  <c r="AA56" i="1"/>
  <c r="AB47" i="1"/>
  <c r="AA47" i="1"/>
  <c r="M59" i="1"/>
  <c r="AA49" i="1"/>
  <c r="AB49" i="1"/>
  <c r="AB46" i="1" l="1"/>
  <c r="S59" i="1"/>
  <c r="AA17" i="1"/>
  <c r="AB17" i="1"/>
  <c r="AA20" i="1"/>
  <c r="E38" i="1"/>
  <c r="G28" i="1" s="1"/>
  <c r="D28" i="1" s="1"/>
  <c r="AB48" i="1"/>
  <c r="AA48" i="1"/>
  <c r="D26" i="1"/>
  <c r="AB50" i="1"/>
  <c r="AA50" i="1"/>
  <c r="AA22" i="1"/>
  <c r="AB22" i="1"/>
  <c r="E70" i="1"/>
  <c r="E72" i="1"/>
  <c r="E71" i="1"/>
  <c r="E74" i="1"/>
  <c r="G64" i="1"/>
  <c r="D64" i="1" s="1"/>
  <c r="G63" i="1"/>
  <c r="E73" i="1"/>
  <c r="Z59" i="1"/>
  <c r="G29" i="1" l="1"/>
  <c r="D29" i="1" s="1"/>
  <c r="X13" i="1" s="1"/>
  <c r="E75" i="1"/>
  <c r="G65" i="1" s="1"/>
  <c r="D65" i="1" s="1"/>
  <c r="D63" i="1"/>
  <c r="AB59" i="1"/>
  <c r="AA59" i="1"/>
  <c r="X11" i="1" l="1"/>
  <c r="X19" i="1"/>
  <c r="X12" i="1"/>
  <c r="X9" i="1"/>
  <c r="X10" i="1"/>
  <c r="X20" i="1"/>
  <c r="X18" i="1"/>
  <c r="X17" i="1"/>
  <c r="X14" i="1"/>
  <c r="X15" i="1"/>
  <c r="X8" i="1"/>
  <c r="X21" i="1"/>
  <c r="X16" i="1"/>
  <c r="AC8" i="1"/>
  <c r="AD8" i="1" s="1"/>
  <c r="C39" i="1" s="1"/>
  <c r="G66" i="1"/>
  <c r="D66" i="1" s="1"/>
  <c r="X49" i="1" s="1"/>
  <c r="F25" i="1" l="1"/>
  <c r="AE8" i="1"/>
  <c r="X55" i="1"/>
  <c r="X46" i="1"/>
  <c r="X54" i="1"/>
  <c r="X57" i="1"/>
  <c r="X53" i="1"/>
  <c r="X56" i="1"/>
  <c r="X45" i="1"/>
  <c r="X51" i="1"/>
  <c r="AC45" i="1"/>
  <c r="X58" i="1"/>
  <c r="X47" i="1"/>
  <c r="X52" i="1"/>
  <c r="X48" i="1"/>
  <c r="X50" i="1"/>
  <c r="AD45" i="1" l="1"/>
  <c r="C76" i="1" s="1"/>
  <c r="AE45" i="1"/>
  <c r="F62" i="1"/>
  <c r="AC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7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Необходимая нам номенклатура
</t>
        </r>
      </text>
    </comment>
    <comment ref="N7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весь металл который ещё не на складе получает приплату "складские расходы" 2300 руб/тн</t>
        </r>
      </text>
    </comment>
    <comment ref="O7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 xml:space="preserve">цифра берется из прайса порезки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P7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 xml:space="preserve">стоимость поддона руб/тн, если применимо
</t>
        </r>
      </text>
    </comment>
    <comment ref="U7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Цена продажи, валюта или рубли, согласно спецификации</t>
        </r>
      </text>
    </comment>
    <comment ref="B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Выгружено из расчёта закупки: карточка, 0.8 мм × 309 мм; 12Х18Н10Т, USD, 12000 валют/тн, курс 85.6007, продажа 324852 руб/тн.</t>
        </r>
      </text>
    </comment>
    <comment ref="I8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Вес после порезки считается по формуле (для плоского проката), или ставится фактический, если металл готов, или ставится по спецификации</t>
        </r>
      </text>
    </comment>
    <comment ref="J8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Курс валюты на дату</t>
        </r>
      </text>
    </comment>
    <comment ref="K8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Себестоимость из УПП, валюта на металл в пути, рубли на металл на складе</t>
        </r>
      </text>
    </comment>
    <comment ref="N8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Стоимость хранения, если металл в пути</t>
        </r>
      </text>
    </comment>
    <comment ref="B24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Стоимость доставки руб/тн</t>
        </r>
      </text>
    </comment>
    <comment ref="B25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если по разным маркам разные ДП, вставить ещё строчки с наименованием ДП</t>
        </r>
      </text>
    </comment>
    <comment ref="B27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Откройник считаем самостоятельно</t>
        </r>
      </text>
    </comment>
    <comment ref="F28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04"/>
          </rPr>
          <t xml:space="preserve">% годовых, банковская ставка </t>
        </r>
      </text>
    </comment>
    <comment ref="C32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04"/>
          </rPr>
          <t xml:space="preserve">% оплаты по условиям спецификации
</t>
        </r>
      </text>
    </comment>
    <comment ref="N44" authorId="0" shapeId="0" xr:uid="{00000000-0006-0000-0000-000011000000}">
      <text>
        <r>
          <rPr>
            <sz val="9"/>
            <color indexed="81"/>
            <rFont val="Tahoma"/>
            <family val="2"/>
            <charset val="204"/>
          </rPr>
          <t xml:space="preserve">Хранение в случае нового закупа есть всегда
</t>
        </r>
      </text>
    </comment>
    <comment ref="K45" authorId="0" shapeId="0" xr:uid="{00000000-0006-0000-0000-000012000000}">
      <text>
        <r>
          <rPr>
            <b/>
            <sz val="9"/>
            <color indexed="81"/>
            <rFont val="Tahoma"/>
            <family val="2"/>
            <charset val="204"/>
          </rPr>
          <t>Цена нового закупа из УПП</t>
        </r>
      </text>
    </comment>
    <comment ref="K46" authorId="0" shapeId="0" xr:uid="{00000000-0006-0000-0000-000013000000}">
      <text>
        <r>
          <rPr>
            <b/>
            <sz val="9"/>
            <color indexed="81"/>
            <rFont val="Tahoma"/>
            <family val="2"/>
            <charset val="204"/>
          </rPr>
          <t>Цена нового закупа из УПП</t>
        </r>
      </text>
    </comment>
    <comment ref="K47" authorId="0" shapeId="0" xr:uid="{00000000-0006-0000-0000-000014000000}">
      <text>
        <r>
          <rPr>
            <b/>
            <sz val="9"/>
            <color indexed="81"/>
            <rFont val="Tahoma"/>
            <family val="2"/>
            <charset val="204"/>
          </rPr>
          <t>Цена нового закупа из УПП</t>
        </r>
      </text>
    </comment>
    <comment ref="B62" authorId="0" shapeId="0" xr:uid="{00000000-0006-0000-0000-000015000000}">
      <text>
        <r>
          <rPr>
            <b/>
            <sz val="9"/>
            <color indexed="81"/>
            <rFont val="Tahoma"/>
            <family val="2"/>
            <charset val="204"/>
          </rPr>
          <t>если по разным маркам разные ДП, вставить ещё строчки с наименованием ДП</t>
        </r>
      </text>
    </comment>
    <comment ref="F65" authorId="0" shapeId="0" xr:uid="{00000000-0006-0000-0000-000016000000}">
      <text>
        <r>
          <rPr>
            <b/>
            <sz val="9"/>
            <color indexed="81"/>
            <rFont val="Tahoma"/>
            <family val="2"/>
            <charset val="204"/>
          </rPr>
          <t xml:space="preserve">% годовых, банковская ставка </t>
        </r>
      </text>
    </comment>
  </commentList>
</comments>
</file>

<file path=xl/sharedStrings.xml><?xml version="1.0" encoding="utf-8"?>
<sst xmlns="http://schemas.openxmlformats.org/spreadsheetml/2006/main" count="118" uniqueCount="73">
  <si>
    <t>Валюта спецификации:</t>
  </si>
  <si>
    <t>USD</t>
  </si>
  <si>
    <t>Месяц поставки:</t>
  </si>
  <si>
    <t>Направление:</t>
  </si>
  <si>
    <t>Условия оплаты:</t>
  </si>
  <si>
    <t>предоплата</t>
  </si>
  <si>
    <t>фактически продаваемый металл (ТЗМ, склад или заявка на закупку)</t>
  </si>
  <si>
    <t>продажа</t>
  </si>
  <si>
    <t>Номенклатура</t>
  </si>
  <si>
    <t>Марка стали</t>
  </si>
  <si>
    <t>S</t>
  </si>
  <si>
    <t>B</t>
  </si>
  <si>
    <t>L</t>
  </si>
  <si>
    <t>поверхн</t>
  </si>
  <si>
    <t>кол-во шт.</t>
  </si>
  <si>
    <t>тн</t>
  </si>
  <si>
    <t>курс</t>
  </si>
  <si>
    <t>цена долл/тн</t>
  </si>
  <si>
    <t>цена руб/тн</t>
  </si>
  <si>
    <t>стоимость руб</t>
  </si>
  <si>
    <t>хранение</t>
  </si>
  <si>
    <t>порезка руб/тн</t>
  </si>
  <si>
    <t>тара руб/тн</t>
  </si>
  <si>
    <t>итого переработка, хранение</t>
  </si>
  <si>
    <t>Итого стоимость руб/тн</t>
  </si>
  <si>
    <t>Итого стоимость</t>
  </si>
  <si>
    <t>цена у.е.</t>
  </si>
  <si>
    <t>цена руб/тн без НДС</t>
  </si>
  <si>
    <t>цена долл/тн без НДС</t>
  </si>
  <si>
    <t>чист рент</t>
  </si>
  <si>
    <t>итого руб</t>
  </si>
  <si>
    <t>валовая прибыль руб</t>
  </si>
  <si>
    <t>рент (валовая прибыль)</t>
  </si>
  <si>
    <t>эффект (валовая прибыль)</t>
  </si>
  <si>
    <t>Расчетная УЧП по сделке</t>
  </si>
  <si>
    <t>рент</t>
  </si>
  <si>
    <t>эффект</t>
  </si>
  <si>
    <t>/тн</t>
  </si>
  <si>
    <t>Стоимость для компании</t>
  </si>
  <si>
    <t>%</t>
  </si>
  <si>
    <t>итого</t>
  </si>
  <si>
    <t>Доставка</t>
  </si>
  <si>
    <t>Воздух</t>
  </si>
  <si>
    <t>Откройник</t>
  </si>
  <si>
    <t>Стоимость денег</t>
  </si>
  <si>
    <t>дней от даты отгрузки до даты оплаты</t>
  </si>
  <si>
    <t xml:space="preserve">коэф обор. по сделке </t>
  </si>
  <si>
    <t>задействование средств компании</t>
  </si>
  <si>
    <t> рентабельность с учетом оборачиваемости </t>
  </si>
  <si>
    <t>наценка</t>
  </si>
  <si>
    <t>Цена нового закупа</t>
  </si>
  <si>
    <t>номенкл</t>
  </si>
  <si>
    <t>марка</t>
  </si>
  <si>
    <t>поверх</t>
  </si>
  <si>
    <t>ДП на расч.счет</t>
  </si>
  <si>
    <t>руб</t>
  </si>
  <si>
    <t>Январь</t>
  </si>
  <si>
    <t>CNY</t>
  </si>
  <si>
    <t>Февраль</t>
  </si>
  <si>
    <t>Март</t>
  </si>
  <si>
    <t>IRR</t>
  </si>
  <si>
    <t>Апрель</t>
  </si>
  <si>
    <t>EUR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</si>
  <si>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</si>
  <si>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</si>
  <si>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</si>
  <si>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</si>
  <si>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</si>
  <si>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</si>
  <si>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</si>
  <si>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</si>
  <si>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ДП за наличные</t>
  </si>
  <si>
    <t>прайс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</si>
</sst>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"/>
    <numFmt numFmtId="165" formatCode="#,##0.000"/>
    <numFmt numFmtId="166" formatCode="#,##0.0000"/>
    <numFmt numFmtId="167" formatCode="[$¥-804]#,##0.00"/>
    <numFmt numFmtId="168" formatCode="#,##0&quot;р.&quot;"/>
    <numFmt numFmtId="169" formatCode="_-[$$-C09]* #,##0_-;\-[$$-C09]* #,##0_-;_-[$$-C09]* &quot;-&quot;_-;_-@_-"/>
    <numFmt numFmtId="170" formatCode="0.0%"/>
    <numFmt numFmtId="171" formatCode="_-* #,##0&quot;р.&quot;_-;\-* #,##0&quot;р.&quot;_-;_-* &quot;-&quot;??&quot;р.&quot;_-;_-@_-"/>
    <numFmt numFmtId="172" formatCode="[$$-409]#,##0.00"/>
    <numFmt numFmtId="173" formatCode="_-* #,##0\ _₽_-;\-* #,##0\ _₽_-;_-* &quot;-&quot;??\ _₽_-;_-@_-"/>
    <numFmt numFmtId="174" formatCode="0.000"/>
    <numFmt numFmtId="175" formatCode="_-* #,##0.00\ _₽_-;\-* #,##0.00\ _₽_-;_-* &quot;-&quot;??\ _₽_-;_-@_-"/>
    <numFmt numFmtId="176" formatCode="#,##0\ &quot;₽&quot;"/>
  </numFmts>
  <fonts count="11" x14ac:knownFonts="1">
    <font>
      <sz val="11"/>
      <color theme="1"/>
      <name val="Calibri"/>
      <family val="2"/>
      <scheme val="minor"/>
    </font>
    <font>
      <sz val="10"/>
      <name val="Tahoma"/>
      <family val="2"/>
      <charset val="204"/>
    </font>
    <font>
      <b/>
      <sz val="10"/>
      <name val="Tahoma"/>
      <family val="2"/>
      <charset val="204"/>
    </font>
    <font>
      <i/>
      <sz val="10"/>
      <name val="Tahoma"/>
      <family val="2"/>
      <charset val="204"/>
    </font>
    <font>
      <b/>
      <i/>
      <sz val="10"/>
      <name val="Tahoma"/>
      <family val="2"/>
      <charset val="204"/>
    </font>
    <font>
      <sz val="10"/>
      <color theme="0"/>
      <name val="Tahoma"/>
      <family val="2"/>
      <charset val="204"/>
    </font>
    <font>
      <b/>
      <sz val="10"/>
      <color theme="0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5" borderId="5" xfId="0" applyFont="1" applyFill="1" applyBorder="1" applyAlignment="1">
      <alignment horizontal="center" vertical="center"/>
    </xf>
    <xf numFmtId="1" fontId="1" fillId="5" borderId="5" xfId="0" applyNumberFormat="1" applyFont="1" applyFill="1" applyBorder="1" applyAlignment="1">
      <alignment horizontal="center" vertical="center" wrapText="1"/>
    </xf>
    <xf numFmtId="164" fontId="1" fillId="5" borderId="5" xfId="0" applyNumberFormat="1" applyFont="1" applyFill="1" applyBorder="1" applyAlignment="1">
      <alignment horizontal="center" vertical="center"/>
    </xf>
    <xf numFmtId="164" fontId="1" fillId="5" borderId="6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/>
    </xf>
    <xf numFmtId="166" fontId="3" fillId="3" borderId="4" xfId="0" applyNumberFormat="1" applyFont="1" applyFill="1" applyBorder="1" applyAlignment="1">
      <alignment horizontal="center"/>
    </xf>
    <xf numFmtId="167" fontId="2" fillId="3" borderId="7" xfId="0" applyNumberFormat="1" applyFont="1" applyFill="1" applyBorder="1"/>
    <xf numFmtId="168" fontId="3" fillId="3" borderId="4" xfId="0" applyNumberFormat="1" applyFont="1" applyFill="1" applyBorder="1"/>
    <xf numFmtId="168" fontId="1" fillId="3" borderId="8" xfId="0" applyNumberFormat="1" applyFont="1" applyFill="1" applyBorder="1"/>
    <xf numFmtId="168" fontId="3" fillId="3" borderId="8" xfId="0" applyNumberFormat="1" applyFont="1" applyFill="1" applyBorder="1" applyAlignment="1">
      <alignment horizontal="center" vertical="center"/>
    </xf>
    <xf numFmtId="168" fontId="3" fillId="3" borderId="8" xfId="0" applyNumberFormat="1" applyFont="1" applyFill="1" applyBorder="1"/>
    <xf numFmtId="168" fontId="1" fillId="3" borderId="8" xfId="0" applyNumberFormat="1" applyFont="1" applyFill="1" applyBorder="1" applyAlignment="1">
      <alignment horizontal="center" vertical="center"/>
    </xf>
    <xf numFmtId="167" fontId="1" fillId="4" borderId="7" xfId="0" applyNumberFormat="1" applyFont="1" applyFill="1" applyBorder="1"/>
    <xf numFmtId="168" fontId="4" fillId="4" borderId="8" xfId="0" applyNumberFormat="1" applyFont="1" applyFill="1" applyBorder="1"/>
    <xf numFmtId="168" fontId="1" fillId="4" borderId="8" xfId="0" applyNumberFormat="1" applyFont="1" applyFill="1" applyBorder="1"/>
    <xf numFmtId="169" fontId="1" fillId="4" borderId="5" xfId="0" applyNumberFormat="1" applyFont="1" applyFill="1" applyBorder="1"/>
    <xf numFmtId="170" fontId="1" fillId="4" borderId="8" xfId="0" applyNumberFormat="1" applyFont="1" applyFill="1" applyBorder="1" applyAlignment="1">
      <alignment horizontal="center" wrapText="1"/>
    </xf>
    <xf numFmtId="168" fontId="1" fillId="4" borderId="8" xfId="0" applyNumberFormat="1" applyFont="1" applyFill="1" applyBorder="1" applyAlignment="1">
      <alignment wrapText="1"/>
    </xf>
    <xf numFmtId="9" fontId="1" fillId="4" borderId="8" xfId="0" applyNumberFormat="1" applyFont="1" applyFill="1" applyBorder="1" applyAlignment="1">
      <alignment wrapText="1"/>
    </xf>
    <xf numFmtId="167" fontId="1" fillId="3" borderId="7" xfId="0" applyNumberFormat="1" applyFont="1" applyFill="1" applyBorder="1"/>
    <xf numFmtId="168" fontId="3" fillId="4" borderId="8" xfId="0" applyNumberFormat="1" applyFont="1" applyFill="1" applyBorder="1"/>
    <xf numFmtId="1" fontId="1" fillId="5" borderId="5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68" fontId="1" fillId="3" borderId="4" xfId="0" applyNumberFormat="1" applyFont="1" applyFill="1" applyBorder="1"/>
    <xf numFmtId="165" fontId="2" fillId="3" borderId="5" xfId="0" applyNumberFormat="1" applyFont="1" applyFill="1" applyBorder="1" applyAlignment="1">
      <alignment horizontal="center" vertical="center"/>
    </xf>
    <xf numFmtId="165" fontId="1" fillId="0" borderId="0" xfId="0" applyNumberFormat="1" applyFont="1"/>
    <xf numFmtId="167" fontId="2" fillId="6" borderId="7" xfId="0" applyNumberFormat="1" applyFont="1" applyFill="1" applyBorder="1"/>
    <xf numFmtId="168" fontId="1" fillId="0" borderId="0" xfId="0" applyNumberFormat="1" applyFont="1"/>
    <xf numFmtId="168" fontId="1" fillId="3" borderId="5" xfId="0" applyNumberFormat="1" applyFont="1" applyFill="1" applyBorder="1"/>
    <xf numFmtId="168" fontId="1" fillId="4" borderId="5" xfId="0" applyNumberFormat="1" applyFont="1" applyFill="1" applyBorder="1"/>
    <xf numFmtId="9" fontId="2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171" fontId="1" fillId="7" borderId="0" xfId="0" applyNumberFormat="1" applyFont="1" applyFill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170" fontId="1" fillId="0" borderId="0" xfId="0" applyNumberFormat="1" applyFont="1"/>
    <xf numFmtId="171" fontId="1" fillId="0" borderId="10" xfId="0" applyNumberFormat="1" applyFont="1" applyBorder="1" applyAlignment="1">
      <alignment vertical="center"/>
    </xf>
    <xf numFmtId="172" fontId="1" fillId="3" borderId="7" xfId="0" applyNumberFormat="1" applyFont="1" applyFill="1" applyBorder="1"/>
    <xf numFmtId="166" fontId="1" fillId="3" borderId="7" xfId="0" applyNumberFormat="1" applyFont="1" applyFill="1" applyBorder="1"/>
    <xf numFmtId="172" fontId="1" fillId="4" borderId="7" xfId="0" applyNumberFormat="1" applyFont="1" applyFill="1" applyBorder="1"/>
    <xf numFmtId="170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vertical="center"/>
    </xf>
    <xf numFmtId="170" fontId="1" fillId="7" borderId="0" xfId="0" applyNumberFormat="1" applyFont="1" applyFill="1" applyAlignment="1">
      <alignment horizontal="right"/>
    </xf>
    <xf numFmtId="171" fontId="1" fillId="0" borderId="10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/>
    </xf>
    <xf numFmtId="17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/>
    <xf numFmtId="171" fontId="2" fillId="0" borderId="4" xfId="0" applyNumberFormat="1" applyFont="1" applyBorder="1"/>
    <xf numFmtId="171" fontId="2" fillId="0" borderId="0" xfId="0" applyNumberFormat="1" applyFont="1" applyAlignment="1">
      <alignment horizontal="center" vertical="center"/>
    </xf>
    <xf numFmtId="0" fontId="2" fillId="0" borderId="0" xfId="0" applyFont="1"/>
    <xf numFmtId="171" fontId="2" fillId="0" borderId="0" xfId="0" applyNumberFormat="1" applyFont="1"/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7" borderId="9" xfId="0" applyFont="1" applyFill="1" applyBorder="1"/>
    <xf numFmtId="170" fontId="1" fillId="7" borderId="0" xfId="0" applyNumberFormat="1" applyFont="1" applyFill="1" applyAlignment="1">
      <alignment horizontal="center"/>
    </xf>
    <xf numFmtId="1" fontId="1" fillId="0" borderId="0" xfId="0" applyNumberFormat="1" applyFont="1"/>
    <xf numFmtId="173" fontId="1" fillId="0" borderId="10" xfId="0" applyNumberFormat="1" applyFont="1" applyBorder="1"/>
    <xf numFmtId="9" fontId="1" fillId="0" borderId="3" xfId="0" applyNumberFormat="1" applyFont="1" applyBorder="1" applyAlignment="1">
      <alignment vertical="center"/>
    </xf>
    <xf numFmtId="1" fontId="1" fillId="0" borderId="3" xfId="0" applyNumberFormat="1" applyFont="1" applyBorder="1"/>
    <xf numFmtId="173" fontId="1" fillId="0" borderId="4" xfId="0" applyNumberFormat="1" applyFont="1" applyBorder="1"/>
    <xf numFmtId="171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164" fontId="1" fillId="5" borderId="6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1" fontId="1" fillId="5" borderId="4" xfId="0" applyNumberFormat="1" applyFont="1" applyFill="1" applyBorder="1" applyAlignment="1">
      <alignment horizontal="center" vertical="center"/>
    </xf>
    <xf numFmtId="1" fontId="1" fillId="5" borderId="7" xfId="0" applyNumberFormat="1" applyFont="1" applyFill="1" applyBorder="1" applyAlignment="1">
      <alignment horizontal="center" vertical="center"/>
    </xf>
    <xf numFmtId="174" fontId="1" fillId="3" borderId="5" xfId="0" applyNumberFormat="1" applyFont="1" applyFill="1" applyBorder="1" applyAlignment="1">
      <alignment horizontal="center"/>
    </xf>
    <xf numFmtId="166" fontId="1" fillId="3" borderId="4" xfId="0" applyNumberFormat="1" applyFont="1" applyFill="1" applyBorder="1" applyAlignment="1">
      <alignment horizontal="center"/>
    </xf>
    <xf numFmtId="169" fontId="2" fillId="3" borderId="5" xfId="0" applyNumberFormat="1" applyFont="1" applyFill="1" applyBorder="1"/>
    <xf numFmtId="168" fontId="1" fillId="6" borderId="8" xfId="0" applyNumberFormat="1" applyFont="1" applyFill="1" applyBorder="1"/>
    <xf numFmtId="169" fontId="1" fillId="6" borderId="5" xfId="0" applyNumberFormat="1" applyFont="1" applyFill="1" applyBorder="1"/>
    <xf numFmtId="169" fontId="1" fillId="3" borderId="5" xfId="0" applyNumberFormat="1" applyFont="1" applyFill="1" applyBorder="1"/>
    <xf numFmtId="3" fontId="1" fillId="3" borderId="4" xfId="0" applyNumberFormat="1" applyFont="1" applyFill="1" applyBorder="1" applyAlignment="1">
      <alignment horizontal="center"/>
    </xf>
    <xf numFmtId="165" fontId="1" fillId="3" borderId="5" xfId="0" applyNumberFormat="1" applyFont="1" applyFill="1" applyBorder="1"/>
    <xf numFmtId="169" fontId="2" fillId="6" borderId="5" xfId="0" applyNumberFormat="1" applyFont="1" applyFill="1" applyBorder="1"/>
    <xf numFmtId="168" fontId="7" fillId="0" borderId="0" xfId="0" applyNumberFormat="1" applyFont="1"/>
    <xf numFmtId="175" fontId="7" fillId="0" borderId="0" xfId="0" applyNumberFormat="1" applyFont="1"/>
    <xf numFmtId="176" fontId="5" fillId="0" borderId="0" xfId="0" applyNumberFormat="1" applyFont="1"/>
    <xf numFmtId="175" fontId="1" fillId="0" borderId="0" xfId="0" applyNumberFormat="1" applyFont="1"/>
    <xf numFmtId="0" fontId="1" fillId="0" borderId="9" xfId="0" applyFont="1" applyBorder="1"/>
    <xf numFmtId="170" fontId="1" fillId="0" borderId="0" xfId="0" applyNumberFormat="1" applyFont="1" applyAlignment="1">
      <alignment horizontal="center"/>
    </xf>
    <xf numFmtId="0" fontId="8" fillId="0" borderId="0" xfId="0" applyFont="1"/>
    <xf numFmtId="166" fontId="1" fillId="3" borderId="7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68" fontId="1" fillId="4" borderId="5" xfId="0" applyNumberFormat="1" applyFont="1" applyFill="1" applyBorder="1" applyAlignment="1">
      <alignment horizontal="center" vertical="center"/>
    </xf>
    <xf numFmtId="9" fontId="1" fillId="4" borderId="5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vertical="center"/>
    </xf>
  </cellXfs>
  <cellStyles count="1"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F76"/>
  <sheetViews>
    <sheetView tabSelected="1" view="pageBreakPreview" zoomScaleNormal="100" zoomScaleSheetLayoutView="100" workbookViewId="0">
      <selection activeCell="AH12" sqref="AH12"/>
    </sheetView>
  </sheetViews>
  <sheetFormatPr defaultColWidth="8.85546875" defaultRowHeight="12.75" customHeight="1" outlineLevelCol="1" x14ac:dyDescent="0.2"/>
  <cols>
    <col min="1" max="1" width="3.42578125" style="1" customWidth="1"/>
    <col min="2" max="2" width="13.42578125" style="1" customWidth="1"/>
    <col min="3" max="3" width="10.28515625" style="1" customWidth="1"/>
    <col min="4" max="4" width="11.5703125" style="1" customWidth="1"/>
    <col min="5" max="5" width="14.85546875" style="1" customWidth="1"/>
    <col min="6" max="6" width="10.5703125" style="1" customWidth="1"/>
    <col min="7" max="7" width="11.7109375" style="2" customWidth="1"/>
    <col min="8" max="8" width="6.7109375" style="2" customWidth="1"/>
    <col min="9" max="9" width="7.5703125" style="1" customWidth="1"/>
    <col min="10" max="10" width="9.140625" style="1" customWidth="1"/>
    <col min="11" max="11" width="12.42578125" style="1" customWidth="1"/>
    <col min="12" max="12" width="10.7109375" style="1" bestFit="1" customWidth="1"/>
    <col min="13" max="13" width="10.7109375" style="1" customWidth="1"/>
    <col min="14" max="14" width="10.28515625" style="1" customWidth="1" outlineLevel="1" collapsed="1"/>
    <col min="15" max="15" width="8.5703125" style="1" customWidth="1" outlineLevel="1" collapsed="1"/>
    <col min="16" max="16" width="8.85546875" style="1" customWidth="1" outlineLevel="1" collapsed="1"/>
    <col min="17" max="19" width="12.140625" style="1" customWidth="1"/>
    <col min="20" max="20" width="11.42578125" style="1" customWidth="1"/>
    <col min="21" max="21" width="11.28515625" style="1" customWidth="1"/>
    <col min="22" max="22" width="9.5703125" style="1" customWidth="1" outlineLevel="1" collapsed="1"/>
    <col min="23" max="23" width="11" style="1" customWidth="1" outlineLevel="1" collapsed="1"/>
    <col min="24" max="24" width="8.42578125" style="1" customWidth="1"/>
    <col min="25" max="29" width="11.7109375" style="1" customWidth="1"/>
    <col min="30" max="30" width="9.140625" style="1" customWidth="1"/>
    <col min="31" max="31" width="8" style="1" customWidth="1"/>
    <col min="32" max="33" width="9.7109375" style="1" customWidth="1"/>
    <col min="34" max="34" width="9.140625" style="1" customWidth="1"/>
    <col min="35" max="35" width="8.28515625" style="1" customWidth="1"/>
    <col min="36" max="36" width="30.140625" style="1" customWidth="1"/>
    <col min="37" max="37" width="8.85546875" style="1" customWidth="1"/>
    <col min="38" max="16384" width="8.85546875" style="1"/>
  </cols>
  <sheetData>
    <row r="1" spans="2:32" x14ac:dyDescent="0.2">
      <c r="L1" s="3"/>
      <c r="M1" s="4" t="s">
        <v>0</v>
      </c>
      <c r="N1" s="3"/>
      <c r="O1" s="3"/>
      <c r="Q1" s="1" t="s">
        <v>55</v>
      </c>
    </row>
    <row r="2" spans="2:32" x14ac:dyDescent="0.2">
      <c r="L2" s="3"/>
      <c r="M2" s="4" t="s">
        <v>2</v>
      </c>
      <c r="N2" s="3"/>
      <c r="O2" s="3"/>
    </row>
    <row r="3" spans="2:32" x14ac:dyDescent="0.2">
      <c r="L3" s="3"/>
      <c r="M3" s="4" t="s">
        <v>3</v>
      </c>
      <c r="N3" s="3"/>
      <c r="O3" s="3"/>
    </row>
    <row r="4" spans="2:32" x14ac:dyDescent="0.2">
      <c r="L4" s="3"/>
      <c r="M4" s="4" t="s">
        <v>4</v>
      </c>
      <c r="N4" s="3"/>
      <c r="O4" s="3"/>
    </row>
    <row r="5" spans="2:32" ht="13.5" customHeight="1" x14ac:dyDescent="0.2"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</row>
    <row r="6" spans="2:32" ht="15" customHeight="1" x14ac:dyDescent="0.2">
      <c r="I6" s="107" t="s">
        <v>6</v>
      </c>
      <c r="J6" s="108"/>
      <c r="K6" s="108"/>
      <c r="L6" s="108"/>
      <c r="M6" s="108"/>
      <c r="N6" s="108"/>
      <c r="O6" s="108"/>
      <c r="P6" s="108"/>
      <c r="Q6" s="108"/>
      <c r="R6" s="108"/>
      <c r="S6" s="109"/>
      <c r="T6" s="110" t="s">
        <v>7</v>
      </c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2"/>
      <c r="AF6" s="105" t="s">
        <v>72</v>
      </c>
    </row>
    <row r="7" spans="2:32" ht="45.75" customHeight="1" x14ac:dyDescent="0.2">
      <c r="B7" s="5" t="s">
        <v>8</v>
      </c>
      <c r="C7" s="6" t="s">
        <v>9</v>
      </c>
      <c r="D7" s="7" t="s">
        <v>10</v>
      </c>
      <c r="E7" s="7" t="s">
        <v>11</v>
      </c>
      <c r="F7" s="5" t="s">
        <v>12</v>
      </c>
      <c r="G7" s="7" t="s">
        <v>13</v>
      </c>
      <c r="H7" s="8" t="s">
        <v>14</v>
      </c>
      <c r="I7" s="9" t="s">
        <v>15</v>
      </c>
      <c r="J7" s="9" t="s">
        <v>16</v>
      </c>
      <c r="K7" s="9" t="s">
        <v>17</v>
      </c>
      <c r="L7" s="10" t="s">
        <v>18</v>
      </c>
      <c r="M7" s="10" t="s">
        <v>19</v>
      </c>
      <c r="N7" s="10" t="s">
        <v>20</v>
      </c>
      <c r="O7" s="10" t="s">
        <v>21</v>
      </c>
      <c r="P7" s="10" t="s">
        <v>22</v>
      </c>
      <c r="Q7" s="10" t="s">
        <v>23</v>
      </c>
      <c r="R7" s="11" t="s">
        <v>24</v>
      </c>
      <c r="S7" s="11" t="s">
        <v>25</v>
      </c>
      <c r="T7" s="12" t="s">
        <v>26</v>
      </c>
      <c r="U7" s="12" t="s">
        <v>18</v>
      </c>
      <c r="V7" s="13" t="s">
        <v>27</v>
      </c>
      <c r="W7" s="13" t="s">
        <v>28</v>
      </c>
      <c r="X7" s="12" t="s">
        <v>29</v>
      </c>
      <c r="Y7" s="14" t="s">
        <v>30</v>
      </c>
      <c r="Z7" s="12" t="s">
        <v>31</v>
      </c>
      <c r="AA7" s="12" t="s">
        <v>32</v>
      </c>
      <c r="AB7" s="12" t="s">
        <v>33</v>
      </c>
      <c r="AC7" s="12" t="s">
        <v>34</v>
      </c>
      <c r="AD7" s="14" t="s">
        <v>35</v>
      </c>
      <c r="AE7" s="14" t="s">
        <v>36</v>
      </c>
      <c r="AF7" s="105"/>
    </row>
    <row r="8" spans="2:32" ht="12.75" customHeight="1" x14ac:dyDescent="0.2">
      <c r="B8" s="15"/>
      <c r="C8" s="15"/>
      <c r="D8" s="16"/>
      <c r="E8" s="15"/>
      <c r="F8" s="17"/>
      <c r="G8" s="15"/>
      <c r="H8" s="18"/>
      <c r="I8" s="19">
        <v>0</v>
      </c>
      <c r="J8" s="20">
        <f>J24</f>
        <v>0</v>
      </c>
      <c r="K8" s="21" t="e">
        <f>L8/J8</f>
        <v>#DIV/0!</v>
      </c>
      <c r="L8" s="22"/>
      <c r="M8" s="23">
        <f t="shared" ref="M8:M21" si="0">I8*L8</f>
        <v>0</v>
      </c>
      <c r="N8" s="24"/>
      <c r="O8" s="25"/>
      <c r="P8" s="25"/>
      <c r="Q8" s="26"/>
      <c r="R8" s="26">
        <f>L8+Q8</f>
        <v>0</v>
      </c>
      <c r="S8" s="26">
        <f>I8*R8</f>
        <v>0</v>
      </c>
      <c r="T8" s="27" t="e">
        <f>U8/J8</f>
        <v>#DIV/0!</v>
      </c>
      <c r="U8" s="28"/>
      <c r="V8" s="29">
        <f>U8/1.2</f>
        <v>0</v>
      </c>
      <c r="W8" s="30" t="e">
        <f>T8/1.2</f>
        <v>#DIV/0!</v>
      </c>
      <c r="X8" s="31" t="e">
        <f t="shared" ref="X8" si="1">(Z8-$D$29*I8)/Y8</f>
        <v>#DIV/0!</v>
      </c>
      <c r="Y8" s="29">
        <f t="shared" ref="Y8:Y21" si="2">U8*I8</f>
        <v>0</v>
      </c>
      <c r="Z8" s="32">
        <f>Y8-S8</f>
        <v>0</v>
      </c>
      <c r="AA8" s="33" t="e">
        <f>Z8/Y8</f>
        <v>#DIV/0!</v>
      </c>
      <c r="AB8" s="33" t="e">
        <f>Z8/S8</f>
        <v>#DIV/0!</v>
      </c>
      <c r="AC8" s="113">
        <f>Z22-G29</f>
        <v>0</v>
      </c>
      <c r="AD8" s="114" t="e">
        <f>AC8/Y22</f>
        <v>#DIV/0!</v>
      </c>
      <c r="AE8" s="114" t="e">
        <f>AC8/S22</f>
        <v>#DIV/0!</v>
      </c>
      <c r="AF8" s="127"/>
    </row>
    <row r="9" spans="2:32" ht="12.75" customHeight="1" x14ac:dyDescent="0.2">
      <c r="B9" s="15"/>
      <c r="C9" s="15"/>
      <c r="D9" s="16"/>
      <c r="E9" s="15"/>
      <c r="F9" s="17"/>
      <c r="G9" s="15"/>
      <c r="H9" s="18"/>
      <c r="I9" s="19">
        <v>0</v>
      </c>
      <c r="J9" s="20">
        <f>J25</f>
        <v>0</v>
      </c>
      <c r="K9" s="21" t="e">
        <f>L9/J9</f>
        <v>#DIV/0!</v>
      </c>
      <c r="L9" s="22"/>
      <c r="M9" s="23">
        <f t="shared" si="0"/>
        <v>0</v>
      </c>
      <c r="N9" s="24"/>
      <c r="O9" s="25"/>
      <c r="P9" s="25"/>
      <c r="Q9" s="26"/>
      <c r="R9" s="26">
        <f t="shared" ref="R9:R21" si="3">L9+Q9</f>
        <v>0</v>
      </c>
      <c r="S9" s="26">
        <f t="shared" ref="S9:S21" si="4">I9*R9</f>
        <v>0</v>
      </c>
      <c r="T9" s="27" t="e">
        <f>U9/J9</f>
        <v>#DIV/0!</v>
      </c>
      <c r="U9" s="28"/>
      <c r="V9" s="29">
        <f t="shared" ref="V9:V21" si="5">U9/1.2</f>
        <v>0</v>
      </c>
      <c r="W9" s="30" t="e">
        <f t="shared" ref="W9:W21" si="6">T9/1.2</f>
        <v>#DIV/0!</v>
      </c>
      <c r="X9" s="31" t="e">
        <f t="shared" ref="X9:X21" si="7">(Z9-$D$29*I9)/Y9</f>
        <v>#DIV/0!</v>
      </c>
      <c r="Y9" s="29">
        <f t="shared" si="2"/>
        <v>0</v>
      </c>
      <c r="Z9" s="32">
        <f t="shared" ref="Z9:Z21" si="8">Y9-S9</f>
        <v>0</v>
      </c>
      <c r="AA9" s="33" t="e">
        <f t="shared" ref="AA9:AA22" si="9">Z9/Y9</f>
        <v>#DIV/0!</v>
      </c>
      <c r="AB9" s="33" t="e">
        <f t="shared" ref="AB9:AB22" si="10">Z9/S9</f>
        <v>#DIV/0!</v>
      </c>
      <c r="AC9" s="113"/>
      <c r="AD9" s="114"/>
      <c r="AE9" s="114"/>
      <c r="AF9" s="127"/>
    </row>
    <row r="10" spans="2:32" ht="12.75" customHeight="1" x14ac:dyDescent="0.2">
      <c r="B10" s="15"/>
      <c r="C10" s="15"/>
      <c r="D10" s="16"/>
      <c r="E10" s="15"/>
      <c r="F10" s="17"/>
      <c r="G10" s="15"/>
      <c r="H10" s="18"/>
      <c r="I10" s="19">
        <v>0</v>
      </c>
      <c r="J10" s="20">
        <f>J25</f>
        <v>0</v>
      </c>
      <c r="K10" s="34" t="e">
        <f>L10/J25</f>
        <v>#DIV/0!</v>
      </c>
      <c r="L10" s="22"/>
      <c r="M10" s="23">
        <f t="shared" si="0"/>
        <v>0</v>
      </c>
      <c r="N10" s="24"/>
      <c r="O10" s="25"/>
      <c r="P10" s="25"/>
      <c r="Q10" s="26"/>
      <c r="R10" s="26">
        <f t="shared" si="3"/>
        <v>0</v>
      </c>
      <c r="S10" s="26">
        <f t="shared" si="4"/>
        <v>0</v>
      </c>
      <c r="T10" s="27" t="e">
        <f t="shared" ref="T10:T21" si="11">U10/J10</f>
        <v>#DIV/0!</v>
      </c>
      <c r="U10" s="28"/>
      <c r="V10" s="29">
        <f t="shared" si="5"/>
        <v>0</v>
      </c>
      <c r="W10" s="30" t="e">
        <f t="shared" si="6"/>
        <v>#DIV/0!</v>
      </c>
      <c r="X10" s="31" t="e">
        <f t="shared" si="7"/>
        <v>#DIV/0!</v>
      </c>
      <c r="Y10" s="29">
        <f t="shared" si="2"/>
        <v>0</v>
      </c>
      <c r="Z10" s="32">
        <f t="shared" si="8"/>
        <v>0</v>
      </c>
      <c r="AA10" s="33" t="e">
        <f t="shared" si="9"/>
        <v>#DIV/0!</v>
      </c>
      <c r="AB10" s="33" t="e">
        <f t="shared" si="10"/>
        <v>#DIV/0!</v>
      </c>
      <c r="AC10" s="113"/>
      <c r="AD10" s="114"/>
      <c r="AE10" s="114"/>
      <c r="AF10" s="127"/>
    </row>
    <row r="11" spans="2:32" ht="12.75" customHeight="1" x14ac:dyDescent="0.2">
      <c r="B11" s="15"/>
      <c r="C11" s="15"/>
      <c r="D11" s="16"/>
      <c r="E11" s="15"/>
      <c r="F11" s="17"/>
      <c r="G11" s="15"/>
      <c r="H11" s="18"/>
      <c r="I11" s="19">
        <v>0</v>
      </c>
      <c r="J11" s="20">
        <f>J25</f>
        <v>0</v>
      </c>
      <c r="K11" s="34" t="e">
        <f>L11/J25</f>
        <v>#DIV/0!</v>
      </c>
      <c r="L11" s="22"/>
      <c r="M11" s="23">
        <f t="shared" si="0"/>
        <v>0</v>
      </c>
      <c r="N11" s="24"/>
      <c r="O11" s="25"/>
      <c r="P11" s="25"/>
      <c r="Q11" s="26"/>
      <c r="R11" s="26">
        <f t="shared" si="3"/>
        <v>0</v>
      </c>
      <c r="S11" s="26">
        <f t="shared" si="4"/>
        <v>0</v>
      </c>
      <c r="T11" s="27" t="e">
        <f t="shared" si="11"/>
        <v>#DIV/0!</v>
      </c>
      <c r="U11" s="28"/>
      <c r="V11" s="29">
        <f t="shared" si="5"/>
        <v>0</v>
      </c>
      <c r="W11" s="30" t="e">
        <f t="shared" si="6"/>
        <v>#DIV/0!</v>
      </c>
      <c r="X11" s="31" t="e">
        <f t="shared" si="7"/>
        <v>#DIV/0!</v>
      </c>
      <c r="Y11" s="29">
        <f t="shared" si="2"/>
        <v>0</v>
      </c>
      <c r="Z11" s="32">
        <f t="shared" si="8"/>
        <v>0</v>
      </c>
      <c r="AA11" s="33" t="e">
        <f t="shared" si="9"/>
        <v>#DIV/0!</v>
      </c>
      <c r="AB11" s="33" t="e">
        <f t="shared" si="10"/>
        <v>#DIV/0!</v>
      </c>
      <c r="AC11" s="113"/>
      <c r="AD11" s="114"/>
      <c r="AE11" s="114"/>
      <c r="AF11" s="127"/>
    </row>
    <row r="12" spans="2:32" ht="12.75" customHeight="1" x14ac:dyDescent="0.2">
      <c r="B12" s="15"/>
      <c r="C12" s="15"/>
      <c r="D12" s="16"/>
      <c r="E12" s="15"/>
      <c r="F12" s="17"/>
      <c r="G12" s="15"/>
      <c r="H12" s="18"/>
      <c r="I12" s="19">
        <f t="shared" ref="I12:I13" si="12">D12*E12*F12*7.9*H12/1000000000</f>
        <v>0</v>
      </c>
      <c r="J12" s="20">
        <f>J25</f>
        <v>0</v>
      </c>
      <c r="K12" s="34" t="e">
        <f>L12/J25</f>
        <v>#DIV/0!</v>
      </c>
      <c r="L12" s="22"/>
      <c r="M12" s="23">
        <f t="shared" si="0"/>
        <v>0</v>
      </c>
      <c r="N12" s="24"/>
      <c r="O12" s="25"/>
      <c r="P12" s="25"/>
      <c r="Q12" s="26"/>
      <c r="R12" s="26">
        <f t="shared" si="3"/>
        <v>0</v>
      </c>
      <c r="S12" s="26">
        <f t="shared" si="4"/>
        <v>0</v>
      </c>
      <c r="T12" s="27" t="e">
        <f t="shared" si="11"/>
        <v>#DIV/0!</v>
      </c>
      <c r="U12" s="28"/>
      <c r="V12" s="29">
        <f t="shared" si="5"/>
        <v>0</v>
      </c>
      <c r="W12" s="30" t="e">
        <f t="shared" si="6"/>
        <v>#DIV/0!</v>
      </c>
      <c r="X12" s="31" t="e">
        <f t="shared" si="7"/>
        <v>#DIV/0!</v>
      </c>
      <c r="Y12" s="29">
        <f t="shared" si="2"/>
        <v>0</v>
      </c>
      <c r="Z12" s="32">
        <f t="shared" si="8"/>
        <v>0</v>
      </c>
      <c r="AA12" s="33" t="e">
        <f t="shared" si="9"/>
        <v>#DIV/0!</v>
      </c>
      <c r="AB12" s="33" t="e">
        <f t="shared" si="10"/>
        <v>#DIV/0!</v>
      </c>
      <c r="AC12" s="113"/>
      <c r="AD12" s="114"/>
      <c r="AE12" s="114"/>
      <c r="AF12" s="127"/>
    </row>
    <row r="13" spans="2:32" ht="12.75" customHeight="1" x14ac:dyDescent="0.2">
      <c r="B13" s="15"/>
      <c r="C13" s="15"/>
      <c r="D13" s="16"/>
      <c r="E13" s="15"/>
      <c r="F13" s="17"/>
      <c r="G13" s="15"/>
      <c r="H13" s="18"/>
      <c r="I13" s="19">
        <f t="shared" si="12"/>
        <v>0</v>
      </c>
      <c r="J13" s="20">
        <f>J25</f>
        <v>0</v>
      </c>
      <c r="K13" s="34" t="e">
        <f>L13/J25</f>
        <v>#DIV/0!</v>
      </c>
      <c r="L13" s="22"/>
      <c r="M13" s="23">
        <f t="shared" si="0"/>
        <v>0</v>
      </c>
      <c r="N13" s="24"/>
      <c r="O13" s="25"/>
      <c r="P13" s="25"/>
      <c r="Q13" s="26"/>
      <c r="R13" s="26">
        <f t="shared" si="3"/>
        <v>0</v>
      </c>
      <c r="S13" s="26">
        <f t="shared" si="4"/>
        <v>0</v>
      </c>
      <c r="T13" s="27" t="e">
        <f t="shared" si="11"/>
        <v>#DIV/0!</v>
      </c>
      <c r="U13" s="28"/>
      <c r="V13" s="29">
        <f t="shared" si="5"/>
        <v>0</v>
      </c>
      <c r="W13" s="30" t="e">
        <f t="shared" si="6"/>
        <v>#DIV/0!</v>
      </c>
      <c r="X13" s="31" t="e">
        <f t="shared" si="7"/>
        <v>#DIV/0!</v>
      </c>
      <c r="Y13" s="29">
        <f t="shared" si="2"/>
        <v>0</v>
      </c>
      <c r="Z13" s="32">
        <f t="shared" si="8"/>
        <v>0</v>
      </c>
      <c r="AA13" s="33" t="e">
        <f t="shared" si="9"/>
        <v>#DIV/0!</v>
      </c>
      <c r="AB13" s="33" t="e">
        <f t="shared" si="10"/>
        <v>#DIV/0!</v>
      </c>
      <c r="AC13" s="113"/>
      <c r="AD13" s="114"/>
      <c r="AE13" s="114"/>
      <c r="AF13" s="127"/>
    </row>
    <row r="14" spans="2:32" ht="12.75" customHeight="1" x14ac:dyDescent="0.2">
      <c r="B14" s="15"/>
      <c r="C14" s="15"/>
      <c r="D14" s="16"/>
      <c r="E14" s="15"/>
      <c r="F14" s="17"/>
      <c r="G14" s="15"/>
      <c r="H14" s="18"/>
      <c r="I14" s="19">
        <f t="shared" ref="I14:I21" si="13">D14*E14*F14*7.9*H14/1000000000</f>
        <v>0</v>
      </c>
      <c r="J14" s="20">
        <f>J25</f>
        <v>0</v>
      </c>
      <c r="K14" s="34" t="e">
        <f t="shared" ref="K14:K21" si="14">L14/J26</f>
        <v>#DIV/0!</v>
      </c>
      <c r="L14" s="22"/>
      <c r="M14" s="23">
        <f t="shared" si="0"/>
        <v>0</v>
      </c>
      <c r="N14" s="24"/>
      <c r="O14" s="25"/>
      <c r="P14" s="25"/>
      <c r="Q14" s="26"/>
      <c r="R14" s="26">
        <f t="shared" si="3"/>
        <v>0</v>
      </c>
      <c r="S14" s="26">
        <f t="shared" si="4"/>
        <v>0</v>
      </c>
      <c r="T14" s="27" t="e">
        <f t="shared" si="11"/>
        <v>#DIV/0!</v>
      </c>
      <c r="U14" s="35"/>
      <c r="V14" s="29">
        <f t="shared" si="5"/>
        <v>0</v>
      </c>
      <c r="W14" s="30" t="e">
        <f t="shared" si="6"/>
        <v>#DIV/0!</v>
      </c>
      <c r="X14" s="31" t="e">
        <f t="shared" si="7"/>
        <v>#DIV/0!</v>
      </c>
      <c r="Y14" s="29">
        <f t="shared" si="2"/>
        <v>0</v>
      </c>
      <c r="Z14" s="32">
        <f t="shared" si="8"/>
        <v>0</v>
      </c>
      <c r="AA14" s="33" t="e">
        <f t="shared" si="9"/>
        <v>#DIV/0!</v>
      </c>
      <c r="AB14" s="33" t="e">
        <f t="shared" si="10"/>
        <v>#DIV/0!</v>
      </c>
      <c r="AC14" s="113"/>
      <c r="AD14" s="114"/>
      <c r="AE14" s="114"/>
      <c r="AF14" s="127"/>
    </row>
    <row r="15" spans="2:32" ht="12.75" customHeight="1" x14ac:dyDescent="0.2">
      <c r="B15" s="15"/>
      <c r="C15" s="15"/>
      <c r="D15" s="16"/>
      <c r="E15" s="15"/>
      <c r="F15" s="17"/>
      <c r="G15" s="15"/>
      <c r="H15" s="18"/>
      <c r="I15" s="19">
        <f t="shared" si="13"/>
        <v>0</v>
      </c>
      <c r="J15" s="20">
        <f>J25</f>
        <v>0</v>
      </c>
      <c r="K15" s="34" t="e">
        <f t="shared" si="14"/>
        <v>#DIV/0!</v>
      </c>
      <c r="L15" s="22"/>
      <c r="M15" s="23">
        <f t="shared" si="0"/>
        <v>0</v>
      </c>
      <c r="N15" s="24"/>
      <c r="O15" s="25"/>
      <c r="P15" s="25"/>
      <c r="Q15" s="26"/>
      <c r="R15" s="26">
        <f t="shared" si="3"/>
        <v>0</v>
      </c>
      <c r="S15" s="26">
        <f t="shared" si="4"/>
        <v>0</v>
      </c>
      <c r="T15" s="27" t="e">
        <f t="shared" si="11"/>
        <v>#DIV/0!</v>
      </c>
      <c r="U15" s="35"/>
      <c r="V15" s="29">
        <f t="shared" si="5"/>
        <v>0</v>
      </c>
      <c r="W15" s="30" t="e">
        <f t="shared" si="6"/>
        <v>#DIV/0!</v>
      </c>
      <c r="X15" s="31" t="e">
        <f t="shared" si="7"/>
        <v>#DIV/0!</v>
      </c>
      <c r="Y15" s="29">
        <f t="shared" si="2"/>
        <v>0</v>
      </c>
      <c r="Z15" s="32">
        <f t="shared" si="8"/>
        <v>0</v>
      </c>
      <c r="AA15" s="33" t="e">
        <f t="shared" si="9"/>
        <v>#DIV/0!</v>
      </c>
      <c r="AB15" s="33" t="e">
        <f t="shared" si="10"/>
        <v>#DIV/0!</v>
      </c>
      <c r="AC15" s="113"/>
      <c r="AD15" s="114"/>
      <c r="AE15" s="114"/>
      <c r="AF15" s="127"/>
    </row>
    <row r="16" spans="2:32" ht="12.75" customHeight="1" x14ac:dyDescent="0.2">
      <c r="B16" s="15"/>
      <c r="C16" s="15"/>
      <c r="D16" s="16"/>
      <c r="E16" s="15"/>
      <c r="F16" s="17"/>
      <c r="G16" s="15"/>
      <c r="H16" s="18"/>
      <c r="I16" s="19">
        <f t="shared" si="13"/>
        <v>0</v>
      </c>
      <c r="J16" s="20">
        <f>J25</f>
        <v>0</v>
      </c>
      <c r="K16" s="34" t="e">
        <f t="shared" si="14"/>
        <v>#DIV/0!</v>
      </c>
      <c r="L16" s="22"/>
      <c r="M16" s="23">
        <f t="shared" si="0"/>
        <v>0</v>
      </c>
      <c r="N16" s="24"/>
      <c r="O16" s="25"/>
      <c r="P16" s="25"/>
      <c r="Q16" s="26"/>
      <c r="R16" s="26">
        <f t="shared" si="3"/>
        <v>0</v>
      </c>
      <c r="S16" s="26">
        <f t="shared" si="4"/>
        <v>0</v>
      </c>
      <c r="T16" s="27" t="e">
        <f t="shared" si="11"/>
        <v>#DIV/0!</v>
      </c>
      <c r="U16" s="35"/>
      <c r="V16" s="29">
        <f t="shared" si="5"/>
        <v>0</v>
      </c>
      <c r="W16" s="30" t="e">
        <f t="shared" si="6"/>
        <v>#DIV/0!</v>
      </c>
      <c r="X16" s="31" t="e">
        <f t="shared" si="7"/>
        <v>#DIV/0!</v>
      </c>
      <c r="Y16" s="29">
        <f t="shared" si="2"/>
        <v>0</v>
      </c>
      <c r="Z16" s="32">
        <f t="shared" si="8"/>
        <v>0</v>
      </c>
      <c r="AA16" s="33" t="e">
        <f t="shared" si="9"/>
        <v>#DIV/0!</v>
      </c>
      <c r="AB16" s="33" t="e">
        <f t="shared" si="10"/>
        <v>#DIV/0!</v>
      </c>
      <c r="AC16" s="113"/>
      <c r="AD16" s="114"/>
      <c r="AE16" s="114"/>
      <c r="AF16" s="127"/>
    </row>
    <row r="17" spans="2:32" ht="12.75" customHeight="1" x14ac:dyDescent="0.2">
      <c r="B17" s="15"/>
      <c r="C17" s="15"/>
      <c r="D17" s="16"/>
      <c r="E17" s="15"/>
      <c r="F17" s="17"/>
      <c r="G17" s="15"/>
      <c r="H17" s="18"/>
      <c r="I17" s="19">
        <f t="shared" si="13"/>
        <v>0</v>
      </c>
      <c r="J17" s="20">
        <f>J25</f>
        <v>0</v>
      </c>
      <c r="K17" s="34" t="e">
        <f t="shared" si="14"/>
        <v>#DIV/0!</v>
      </c>
      <c r="L17" s="22"/>
      <c r="M17" s="23">
        <f t="shared" si="0"/>
        <v>0</v>
      </c>
      <c r="N17" s="24"/>
      <c r="O17" s="25"/>
      <c r="P17" s="25"/>
      <c r="Q17" s="26"/>
      <c r="R17" s="26">
        <f t="shared" si="3"/>
        <v>0</v>
      </c>
      <c r="S17" s="26">
        <f t="shared" si="4"/>
        <v>0</v>
      </c>
      <c r="T17" s="27" t="e">
        <f t="shared" si="11"/>
        <v>#DIV/0!</v>
      </c>
      <c r="U17" s="35"/>
      <c r="V17" s="29">
        <f t="shared" si="5"/>
        <v>0</v>
      </c>
      <c r="W17" s="30" t="e">
        <f t="shared" si="6"/>
        <v>#DIV/0!</v>
      </c>
      <c r="X17" s="31" t="e">
        <f t="shared" si="7"/>
        <v>#DIV/0!</v>
      </c>
      <c r="Y17" s="29">
        <f t="shared" si="2"/>
        <v>0</v>
      </c>
      <c r="Z17" s="32">
        <f t="shared" si="8"/>
        <v>0</v>
      </c>
      <c r="AA17" s="33" t="e">
        <f t="shared" si="9"/>
        <v>#DIV/0!</v>
      </c>
      <c r="AB17" s="33" t="e">
        <f t="shared" si="10"/>
        <v>#DIV/0!</v>
      </c>
      <c r="AC17" s="113"/>
      <c r="AD17" s="114"/>
      <c r="AE17" s="114"/>
      <c r="AF17" s="127"/>
    </row>
    <row r="18" spans="2:32" ht="12.75" customHeight="1" x14ac:dyDescent="0.2">
      <c r="B18" s="15"/>
      <c r="C18" s="15"/>
      <c r="D18" s="16"/>
      <c r="E18" s="15"/>
      <c r="F18" s="17"/>
      <c r="G18" s="15"/>
      <c r="H18" s="18"/>
      <c r="I18" s="19">
        <f t="shared" si="13"/>
        <v>0</v>
      </c>
      <c r="J18" s="20">
        <f>J25</f>
        <v>0</v>
      </c>
      <c r="K18" s="34" t="e">
        <f t="shared" si="14"/>
        <v>#DIV/0!</v>
      </c>
      <c r="L18" s="22"/>
      <c r="M18" s="23">
        <f t="shared" si="0"/>
        <v>0</v>
      </c>
      <c r="N18" s="24"/>
      <c r="O18" s="25"/>
      <c r="P18" s="25"/>
      <c r="Q18" s="26"/>
      <c r="R18" s="26">
        <f t="shared" si="3"/>
        <v>0</v>
      </c>
      <c r="S18" s="26">
        <f t="shared" si="4"/>
        <v>0</v>
      </c>
      <c r="T18" s="27" t="e">
        <f t="shared" si="11"/>
        <v>#DIV/0!</v>
      </c>
      <c r="U18" s="35"/>
      <c r="V18" s="29">
        <f t="shared" si="5"/>
        <v>0</v>
      </c>
      <c r="W18" s="30" t="e">
        <f t="shared" si="6"/>
        <v>#DIV/0!</v>
      </c>
      <c r="X18" s="31" t="e">
        <f t="shared" si="7"/>
        <v>#DIV/0!</v>
      </c>
      <c r="Y18" s="29">
        <f t="shared" si="2"/>
        <v>0</v>
      </c>
      <c r="Z18" s="32">
        <f t="shared" si="8"/>
        <v>0</v>
      </c>
      <c r="AA18" s="33" t="e">
        <f t="shared" si="9"/>
        <v>#DIV/0!</v>
      </c>
      <c r="AB18" s="33" t="e">
        <f t="shared" si="10"/>
        <v>#DIV/0!</v>
      </c>
      <c r="AC18" s="113"/>
      <c r="AD18" s="114"/>
      <c r="AE18" s="114"/>
      <c r="AF18" s="127"/>
    </row>
    <row r="19" spans="2:32" ht="12.75" customHeight="1" x14ac:dyDescent="0.2">
      <c r="B19" s="15"/>
      <c r="C19" s="15"/>
      <c r="D19" s="16"/>
      <c r="E19" s="15"/>
      <c r="F19" s="17"/>
      <c r="G19" s="15"/>
      <c r="H19" s="18"/>
      <c r="I19" s="19">
        <f t="shared" si="13"/>
        <v>0</v>
      </c>
      <c r="J19" s="20">
        <f>J25</f>
        <v>0</v>
      </c>
      <c r="K19" s="34" t="e">
        <f t="shared" si="14"/>
        <v>#DIV/0!</v>
      </c>
      <c r="L19" s="22"/>
      <c r="M19" s="23">
        <f t="shared" si="0"/>
        <v>0</v>
      </c>
      <c r="N19" s="24"/>
      <c r="O19" s="25"/>
      <c r="P19" s="25"/>
      <c r="Q19" s="26"/>
      <c r="R19" s="26">
        <f t="shared" si="3"/>
        <v>0</v>
      </c>
      <c r="S19" s="26">
        <f t="shared" si="4"/>
        <v>0</v>
      </c>
      <c r="T19" s="27" t="e">
        <f t="shared" si="11"/>
        <v>#DIV/0!</v>
      </c>
      <c r="U19" s="35"/>
      <c r="V19" s="29">
        <f t="shared" si="5"/>
        <v>0</v>
      </c>
      <c r="W19" s="30" t="e">
        <f t="shared" si="6"/>
        <v>#DIV/0!</v>
      </c>
      <c r="X19" s="31" t="e">
        <f t="shared" si="7"/>
        <v>#DIV/0!</v>
      </c>
      <c r="Y19" s="29">
        <f t="shared" si="2"/>
        <v>0</v>
      </c>
      <c r="Z19" s="32">
        <f t="shared" si="8"/>
        <v>0</v>
      </c>
      <c r="AA19" s="33" t="e">
        <f t="shared" si="9"/>
        <v>#DIV/0!</v>
      </c>
      <c r="AB19" s="33" t="e">
        <f t="shared" si="10"/>
        <v>#DIV/0!</v>
      </c>
      <c r="AC19" s="113"/>
      <c r="AD19" s="114"/>
      <c r="AE19" s="114"/>
      <c r="AF19" s="127"/>
    </row>
    <row r="20" spans="2:32" ht="12.75" customHeight="1" x14ac:dyDescent="0.2">
      <c r="B20" s="15"/>
      <c r="C20" s="15"/>
      <c r="D20" s="16"/>
      <c r="E20" s="15"/>
      <c r="F20" s="17"/>
      <c r="G20" s="15"/>
      <c r="H20" s="18"/>
      <c r="I20" s="19">
        <f t="shared" si="13"/>
        <v>0</v>
      </c>
      <c r="J20" s="20">
        <f>J25</f>
        <v>0</v>
      </c>
      <c r="K20" s="34" t="e">
        <f t="shared" si="14"/>
        <v>#DIV/0!</v>
      </c>
      <c r="L20" s="22"/>
      <c r="M20" s="23">
        <f t="shared" si="0"/>
        <v>0</v>
      </c>
      <c r="N20" s="24"/>
      <c r="O20" s="25"/>
      <c r="P20" s="25"/>
      <c r="Q20" s="26"/>
      <c r="R20" s="26">
        <f t="shared" si="3"/>
        <v>0</v>
      </c>
      <c r="S20" s="26">
        <f t="shared" si="4"/>
        <v>0</v>
      </c>
      <c r="T20" s="27" t="e">
        <f t="shared" si="11"/>
        <v>#DIV/0!</v>
      </c>
      <c r="U20" s="35"/>
      <c r="V20" s="29">
        <f t="shared" si="5"/>
        <v>0</v>
      </c>
      <c r="W20" s="30" t="e">
        <f t="shared" si="6"/>
        <v>#DIV/0!</v>
      </c>
      <c r="X20" s="31" t="e">
        <f t="shared" si="7"/>
        <v>#DIV/0!</v>
      </c>
      <c r="Y20" s="29">
        <f t="shared" si="2"/>
        <v>0</v>
      </c>
      <c r="Z20" s="32">
        <f t="shared" si="8"/>
        <v>0</v>
      </c>
      <c r="AA20" s="33" t="e">
        <f t="shared" si="9"/>
        <v>#DIV/0!</v>
      </c>
      <c r="AB20" s="33" t="e">
        <f t="shared" si="10"/>
        <v>#DIV/0!</v>
      </c>
      <c r="AC20" s="113"/>
      <c r="AD20" s="114"/>
      <c r="AE20" s="114"/>
      <c r="AF20" s="127"/>
    </row>
    <row r="21" spans="2:32" ht="12.75" customHeight="1" x14ac:dyDescent="0.2">
      <c r="B21" s="15"/>
      <c r="C21" s="5"/>
      <c r="D21" s="5"/>
      <c r="E21" s="5"/>
      <c r="F21" s="36"/>
      <c r="G21" s="5"/>
      <c r="H21" s="37"/>
      <c r="I21" s="19">
        <f t="shared" si="13"/>
        <v>0</v>
      </c>
      <c r="J21" s="20">
        <f>J25</f>
        <v>0</v>
      </c>
      <c r="K21" s="34" t="e">
        <f t="shared" si="14"/>
        <v>#DIV/0!</v>
      </c>
      <c r="L21" s="38"/>
      <c r="M21" s="23">
        <f t="shared" si="0"/>
        <v>0</v>
      </c>
      <c r="N21" s="26"/>
      <c r="O21" s="23"/>
      <c r="P21" s="23"/>
      <c r="Q21" s="26"/>
      <c r="R21" s="26">
        <f t="shared" si="3"/>
        <v>0</v>
      </c>
      <c r="S21" s="26">
        <f t="shared" si="4"/>
        <v>0</v>
      </c>
      <c r="T21" s="27" t="e">
        <f t="shared" si="11"/>
        <v>#DIV/0!</v>
      </c>
      <c r="U21" s="29"/>
      <c r="V21" s="29">
        <f t="shared" si="5"/>
        <v>0</v>
      </c>
      <c r="W21" s="30" t="e">
        <f t="shared" si="6"/>
        <v>#DIV/0!</v>
      </c>
      <c r="X21" s="31" t="e">
        <f t="shared" si="7"/>
        <v>#DIV/0!</v>
      </c>
      <c r="Y21" s="29">
        <f t="shared" si="2"/>
        <v>0</v>
      </c>
      <c r="Z21" s="32">
        <f t="shared" si="8"/>
        <v>0</v>
      </c>
      <c r="AA21" s="33" t="e">
        <f t="shared" si="9"/>
        <v>#DIV/0!</v>
      </c>
      <c r="AB21" s="33" t="e">
        <f t="shared" si="10"/>
        <v>#DIV/0!</v>
      </c>
      <c r="AC21" s="113"/>
      <c r="AD21" s="114"/>
      <c r="AE21" s="114"/>
      <c r="AF21" s="127"/>
    </row>
    <row r="22" spans="2:32" x14ac:dyDescent="0.2">
      <c r="I22" s="39">
        <f>SUM(I8:I21)</f>
        <v>0</v>
      </c>
      <c r="J22" s="40"/>
      <c r="K22" s="41" t="e">
        <f>SUM(K8:K21)</f>
        <v>#DIV/0!</v>
      </c>
      <c r="L22" s="42"/>
      <c r="M22" s="43">
        <f>SUM(M8:M21)</f>
        <v>0</v>
      </c>
      <c r="R22" s="42"/>
      <c r="S22" s="43">
        <f>SUM(S8:S21)</f>
        <v>0</v>
      </c>
      <c r="T22" s="42"/>
      <c r="U22" s="42"/>
      <c r="V22" s="42"/>
      <c r="W22" s="42"/>
      <c r="X22" s="42"/>
      <c r="Y22" s="44">
        <f>SUM(Y8:Y21)</f>
        <v>0</v>
      </c>
      <c r="Z22" s="44">
        <f>SUM(Z8:Z21)</f>
        <v>0</v>
      </c>
      <c r="AA22" s="33" t="e">
        <f t="shared" si="9"/>
        <v>#DIV/0!</v>
      </c>
      <c r="AB22" s="33" t="e">
        <f t="shared" si="10"/>
        <v>#DIV/0!</v>
      </c>
      <c r="AC22" s="45"/>
      <c r="AD22" s="45"/>
    </row>
    <row r="23" spans="2:32" ht="27.75" customHeight="1" x14ac:dyDescent="0.2">
      <c r="B23" s="46"/>
      <c r="C23" s="47"/>
      <c r="D23" s="48" t="s">
        <v>37</v>
      </c>
      <c r="E23" s="49" t="s">
        <v>38</v>
      </c>
      <c r="F23" s="48" t="s">
        <v>39</v>
      </c>
      <c r="G23" s="50" t="s">
        <v>40</v>
      </c>
      <c r="H23" s="1"/>
    </row>
    <row r="24" spans="2:32" x14ac:dyDescent="0.2">
      <c r="B24" s="115" t="s">
        <v>41</v>
      </c>
      <c r="C24" s="116"/>
      <c r="D24" s="51">
        <v>5000</v>
      </c>
      <c r="E24" s="52"/>
      <c r="F24" s="53" t="e">
        <f>G24/Y22</f>
        <v>#DIV/0!</v>
      </c>
      <c r="G24" s="54">
        <f>I22*D24</f>
        <v>0</v>
      </c>
      <c r="H24" s="1"/>
      <c r="I24" s="55"/>
      <c r="J24" s="56"/>
      <c r="T24" s="57">
        <v>1</v>
      </c>
    </row>
    <row r="25" spans="2:32" x14ac:dyDescent="0.2">
      <c r="B25" s="115" t="s">
        <v>5</v>
      </c>
      <c r="C25" s="116"/>
      <c r="D25" s="51"/>
      <c r="E25" s="51">
        <f>IF(B25="ДП за наличные",D25*1.5,IF(B25="ДП на расч.счет",D25,0))</f>
        <v>0</v>
      </c>
      <c r="F25" s="58" t="e">
        <f>G25/($AC$8/1.2)</f>
        <v>#DIV/0!</v>
      </c>
      <c r="G25" s="54">
        <f>$I$22*E25</f>
        <v>0</v>
      </c>
      <c r="H25" s="1"/>
      <c r="I25" s="34"/>
      <c r="J25" s="56"/>
      <c r="T25" s="27">
        <v>1</v>
      </c>
    </row>
    <row r="26" spans="2:32" x14ac:dyDescent="0.2">
      <c r="B26" s="115" t="s">
        <v>42</v>
      </c>
      <c r="C26" s="116"/>
      <c r="D26" s="59" t="e">
        <f>G26/I22</f>
        <v>#DIV/0!</v>
      </c>
      <c r="E26" s="59"/>
      <c r="F26" s="60">
        <v>0</v>
      </c>
      <c r="G26" s="54">
        <f>-F26*M22</f>
        <v>0</v>
      </c>
      <c r="H26" s="1"/>
    </row>
    <row r="27" spans="2:32" x14ac:dyDescent="0.2">
      <c r="B27" s="115" t="s">
        <v>43</v>
      </c>
      <c r="C27" s="116"/>
      <c r="D27" s="59" t="e">
        <f>G27/I22</f>
        <v>#DIV/0!</v>
      </c>
      <c r="E27" s="59"/>
      <c r="F27" s="60">
        <v>0</v>
      </c>
      <c r="G27" s="54">
        <f>F27*M22</f>
        <v>0</v>
      </c>
      <c r="H27" s="1"/>
    </row>
    <row r="28" spans="2:32" x14ac:dyDescent="0.2">
      <c r="B28" s="115" t="s">
        <v>44</v>
      </c>
      <c r="C28" s="116"/>
      <c r="D28" s="59" t="e">
        <f>G28/I22</f>
        <v>#DIV/0!</v>
      </c>
      <c r="E28" s="59"/>
      <c r="F28" s="58">
        <v>0.14000000000000001</v>
      </c>
      <c r="G28" s="61">
        <f>E38</f>
        <v>0</v>
      </c>
      <c r="H28" s="1"/>
    </row>
    <row r="29" spans="2:32" x14ac:dyDescent="0.2">
      <c r="B29" s="62"/>
      <c r="C29" s="47"/>
      <c r="D29" s="63" t="e">
        <f>G29/I22</f>
        <v>#DIV/0!</v>
      </c>
      <c r="E29" s="63"/>
      <c r="F29" s="64"/>
      <c r="G29" s="65">
        <f>SUM(G24:G28)</f>
        <v>0</v>
      </c>
      <c r="H29" s="1"/>
    </row>
    <row r="30" spans="2:32" x14ac:dyDescent="0.2">
      <c r="B30" s="2"/>
      <c r="C30" s="66"/>
      <c r="D30" s="67"/>
      <c r="E30" s="68"/>
      <c r="F30" s="59"/>
      <c r="H30" s="1"/>
    </row>
    <row r="31" spans="2:32" x14ac:dyDescent="0.2">
      <c r="B31" s="2"/>
      <c r="H31" s="1"/>
    </row>
    <row r="32" spans="2:32" ht="37.5" customHeight="1" x14ac:dyDescent="0.2">
      <c r="B32" s="69" t="s">
        <v>45</v>
      </c>
      <c r="C32" s="70" t="s">
        <v>39</v>
      </c>
      <c r="D32" s="71" t="s">
        <v>46</v>
      </c>
      <c r="E32" s="72" t="s">
        <v>47</v>
      </c>
      <c r="H32" s="1"/>
    </row>
    <row r="33" spans="2:31" x14ac:dyDescent="0.2">
      <c r="B33" s="73">
        <v>45</v>
      </c>
      <c r="C33" s="74">
        <v>1</v>
      </c>
      <c r="D33" s="75">
        <f>IF(C33=0,0,IF(B33=0,182,IFERROR(365/(B33+1)*C33,0)))</f>
        <v>7.9347826086956523</v>
      </c>
      <c r="E33" s="76">
        <f>$F$28/365*B33*C33*M22</f>
        <v>0</v>
      </c>
      <c r="H33" s="1"/>
    </row>
    <row r="34" spans="2:31" x14ac:dyDescent="0.2">
      <c r="B34" s="73">
        <v>0</v>
      </c>
      <c r="C34" s="74">
        <v>0</v>
      </c>
      <c r="D34" s="75">
        <f t="shared" ref="D34:D37" si="15">IF(C34=0,0,IF(B34=0,182,IFERROR(365/(B34+1)*C34,0)))</f>
        <v>0</v>
      </c>
      <c r="E34" s="76">
        <f>$F$28/365*B34*C34*M22</f>
        <v>0</v>
      </c>
      <c r="H34" s="1"/>
    </row>
    <row r="35" spans="2:31" x14ac:dyDescent="0.2">
      <c r="B35" s="73">
        <v>0</v>
      </c>
      <c r="C35" s="74">
        <v>0</v>
      </c>
      <c r="D35" s="75">
        <f t="shared" si="15"/>
        <v>0</v>
      </c>
      <c r="E35" s="76">
        <f>$F$28/365*B35*C35*M22</f>
        <v>0</v>
      </c>
      <c r="H35" s="1"/>
    </row>
    <row r="36" spans="2:31" x14ac:dyDescent="0.2">
      <c r="B36" s="73">
        <v>0</v>
      </c>
      <c r="C36" s="74">
        <v>0</v>
      </c>
      <c r="D36" s="75">
        <f t="shared" si="15"/>
        <v>0</v>
      </c>
      <c r="E36" s="76">
        <f>$F$28/365*B36*C36*M22</f>
        <v>0</v>
      </c>
      <c r="H36" s="1"/>
    </row>
    <row r="37" spans="2:31" x14ac:dyDescent="0.2">
      <c r="B37" s="73">
        <v>0</v>
      </c>
      <c r="C37" s="74">
        <v>0</v>
      </c>
      <c r="D37" s="75">
        <f t="shared" si="15"/>
        <v>0</v>
      </c>
      <c r="E37" s="76">
        <f>$F$28/365*B37*C37*M22</f>
        <v>0</v>
      </c>
      <c r="H37" s="1"/>
    </row>
    <row r="38" spans="2:31" x14ac:dyDescent="0.2">
      <c r="B38" s="62"/>
      <c r="C38" s="77">
        <f>SUM(C33:C37)</f>
        <v>1</v>
      </c>
      <c r="D38" s="78">
        <f>SUM(D33:D37)</f>
        <v>7.9347826086956523</v>
      </c>
      <c r="E38" s="79">
        <f>SUM(E33:E37)</f>
        <v>0</v>
      </c>
      <c r="F38" s="59"/>
      <c r="H38" s="1"/>
    </row>
    <row r="39" spans="2:31" x14ac:dyDescent="0.2">
      <c r="B39" s="2"/>
      <c r="C39" s="45" t="e">
        <f>D38*AD8</f>
        <v>#DIV/0!</v>
      </c>
      <c r="D39" s="59" t="s">
        <v>48</v>
      </c>
      <c r="E39" s="59"/>
      <c r="F39" s="59"/>
      <c r="H39" s="1"/>
    </row>
    <row r="40" spans="2:31" x14ac:dyDescent="0.2">
      <c r="B40" s="2"/>
      <c r="E40" s="59"/>
      <c r="F40" s="59"/>
      <c r="G40" s="59"/>
      <c r="H40" s="1"/>
    </row>
    <row r="41" spans="2:31" x14ac:dyDescent="0.2">
      <c r="C41" s="80"/>
      <c r="D41" s="59"/>
      <c r="E41" s="59"/>
      <c r="F41" s="59"/>
      <c r="G41" s="81"/>
      <c r="H41" s="81"/>
    </row>
    <row r="42" spans="2:31" x14ac:dyDescent="0.2">
      <c r="C42" s="82" t="s">
        <v>49</v>
      </c>
      <c r="D42" s="82" t="s">
        <v>16</v>
      </c>
    </row>
    <row r="43" spans="2:31" x14ac:dyDescent="0.2">
      <c r="C43" s="83">
        <v>1.1599999999999999</v>
      </c>
      <c r="D43" s="83"/>
      <c r="I43" s="119" t="s">
        <v>50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1"/>
      <c r="T43" s="122" t="s">
        <v>7</v>
      </c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4"/>
    </row>
    <row r="44" spans="2:31" ht="37.5" customHeight="1" x14ac:dyDescent="0.2">
      <c r="B44" s="5" t="s">
        <v>51</v>
      </c>
      <c r="C44" s="36" t="s">
        <v>52</v>
      </c>
      <c r="D44" s="7" t="s">
        <v>10</v>
      </c>
      <c r="E44" s="7" t="s">
        <v>11</v>
      </c>
      <c r="F44" s="5" t="s">
        <v>12</v>
      </c>
      <c r="G44" s="7" t="s">
        <v>53</v>
      </c>
      <c r="H44" s="84"/>
      <c r="I44" s="9" t="s">
        <v>15</v>
      </c>
      <c r="J44" s="9" t="s">
        <v>16</v>
      </c>
      <c r="K44" s="9" t="s">
        <v>17</v>
      </c>
      <c r="L44" s="10" t="s">
        <v>18</v>
      </c>
      <c r="M44" s="10" t="s">
        <v>19</v>
      </c>
      <c r="N44" s="10" t="s">
        <v>20</v>
      </c>
      <c r="O44" s="10" t="s">
        <v>21</v>
      </c>
      <c r="P44" s="10" t="s">
        <v>22</v>
      </c>
      <c r="Q44" s="10" t="s">
        <v>23</v>
      </c>
      <c r="R44" s="11" t="s">
        <v>24</v>
      </c>
      <c r="S44" s="11" t="s">
        <v>25</v>
      </c>
      <c r="T44" s="12" t="s">
        <v>26</v>
      </c>
      <c r="U44" s="12" t="s">
        <v>18</v>
      </c>
      <c r="V44" s="85" t="s">
        <v>27</v>
      </c>
      <c r="W44" s="85" t="s">
        <v>28</v>
      </c>
      <c r="X44" s="12" t="s">
        <v>29</v>
      </c>
      <c r="Y44" s="14" t="s">
        <v>30</v>
      </c>
      <c r="Z44" s="12" t="s">
        <v>31</v>
      </c>
      <c r="AA44" s="12" t="s">
        <v>32</v>
      </c>
      <c r="AB44" s="12" t="s">
        <v>33</v>
      </c>
      <c r="AC44" s="12" t="s">
        <v>34</v>
      </c>
      <c r="AD44" s="14" t="s">
        <v>35</v>
      </c>
      <c r="AE44" s="14" t="s">
        <v>36</v>
      </c>
    </row>
    <row r="45" spans="2:31" ht="12.75" customHeight="1" x14ac:dyDescent="0.2">
      <c r="B45" s="5"/>
      <c r="C45" s="36"/>
      <c r="D45" s="7"/>
      <c r="E45" s="36"/>
      <c r="F45" s="86"/>
      <c r="G45" s="7"/>
      <c r="H45" s="87"/>
      <c r="I45" s="88">
        <v>0</v>
      </c>
      <c r="J45" s="89">
        <f>J24</f>
        <v>0</v>
      </c>
      <c r="K45" s="90"/>
      <c r="L45" s="38">
        <f>K45*J45</f>
        <v>0</v>
      </c>
      <c r="M45" s="23">
        <f>I45*L45</f>
        <v>0</v>
      </c>
      <c r="N45" s="23"/>
      <c r="O45" s="23">
        <f t="shared" ref="O45:Q46" si="16">O8</f>
        <v>0</v>
      </c>
      <c r="P45" s="23">
        <f t="shared" si="16"/>
        <v>0</v>
      </c>
      <c r="Q45" s="23">
        <f>Q8+N45</f>
        <v>0</v>
      </c>
      <c r="R45" s="26">
        <f>L45+Q45</f>
        <v>0</v>
      </c>
      <c r="S45" s="26">
        <f>I45*R45</f>
        <v>0</v>
      </c>
      <c r="T45" s="30" t="e">
        <f>U45/J45</f>
        <v>#DIV/0!</v>
      </c>
      <c r="U45" s="29">
        <f t="shared" ref="U45:U58" si="17">U8</f>
        <v>0</v>
      </c>
      <c r="V45" s="91">
        <f>U45/1.2</f>
        <v>0</v>
      </c>
      <c r="W45" s="92" t="e">
        <f>T45/1.2</f>
        <v>#DIV/0!</v>
      </c>
      <c r="X45" s="31" t="e">
        <f>(Z45-D66*I45)/Y45</f>
        <v>#DIV/0!</v>
      </c>
      <c r="Y45" s="29">
        <f t="shared" ref="Y45" si="18">U45*I45</f>
        <v>0</v>
      </c>
      <c r="Z45" s="32">
        <f>Y45-S45</f>
        <v>0</v>
      </c>
      <c r="AA45" s="33" t="e">
        <f>Z45/Y45</f>
        <v>#DIV/0!</v>
      </c>
      <c r="AB45" s="33" t="e">
        <f>Z45/S45</f>
        <v>#DIV/0!</v>
      </c>
      <c r="AC45" s="113">
        <f>Z59-G66</f>
        <v>0</v>
      </c>
      <c r="AD45" s="114" t="e">
        <f>AC45/Y59</f>
        <v>#DIV/0!</v>
      </c>
      <c r="AE45" s="114" t="e">
        <f>AC45/S59</f>
        <v>#DIV/0!</v>
      </c>
    </row>
    <row r="46" spans="2:31" ht="12.75" customHeight="1" x14ac:dyDescent="0.2">
      <c r="B46" s="5"/>
      <c r="C46" s="36"/>
      <c r="D46" s="7"/>
      <c r="E46" s="36"/>
      <c r="F46" s="86"/>
      <c r="G46" s="7"/>
      <c r="H46" s="87"/>
      <c r="I46" s="88">
        <v>0</v>
      </c>
      <c r="J46" s="104">
        <f>J24</f>
        <v>0</v>
      </c>
      <c r="K46" s="90"/>
      <c r="L46" s="38">
        <f t="shared" ref="L46:L58" si="19">K46*J46</f>
        <v>0</v>
      </c>
      <c r="M46" s="23">
        <f t="shared" ref="M46:M58" si="20">I46*L46</f>
        <v>0</v>
      </c>
      <c r="N46" s="23"/>
      <c r="O46" s="23">
        <f t="shared" si="16"/>
        <v>0</v>
      </c>
      <c r="P46" s="23">
        <f t="shared" si="16"/>
        <v>0</v>
      </c>
      <c r="Q46" s="23">
        <f t="shared" si="16"/>
        <v>0</v>
      </c>
      <c r="R46" s="26">
        <f t="shared" ref="R46:R58" si="21">L46+Q46</f>
        <v>0</v>
      </c>
      <c r="S46" s="26">
        <f t="shared" ref="S46:S58" si="22">I46*R46</f>
        <v>0</v>
      </c>
      <c r="T46" s="30" t="e">
        <f t="shared" ref="T46:T50" si="23">U46/J46</f>
        <v>#DIV/0!</v>
      </c>
      <c r="U46" s="29">
        <f t="shared" si="17"/>
        <v>0</v>
      </c>
      <c r="V46" s="91">
        <f t="shared" ref="V46:V50" si="24">U46/1.2</f>
        <v>0</v>
      </c>
      <c r="W46" s="92" t="e">
        <f t="shared" ref="W46:W50" si="25">T46/1.2</f>
        <v>#DIV/0!</v>
      </c>
      <c r="X46" s="31" t="e">
        <f>(Z46-D66*I46)/Y46</f>
        <v>#DIV/0!</v>
      </c>
      <c r="Y46" s="29">
        <f t="shared" ref="Y46:Y58" si="26">U46*I46</f>
        <v>0</v>
      </c>
      <c r="Z46" s="32">
        <f t="shared" ref="Z46:Z58" si="27">Y46-S46</f>
        <v>0</v>
      </c>
      <c r="AA46" s="33" t="e">
        <f t="shared" ref="AA46:AA58" si="28">Z46/Y46</f>
        <v>#DIV/0!</v>
      </c>
      <c r="AB46" s="33" t="e">
        <f t="shared" ref="AB46:AB58" si="29">Z46/S46</f>
        <v>#DIV/0!</v>
      </c>
      <c r="AC46" s="113"/>
      <c r="AD46" s="114"/>
      <c r="AE46" s="114"/>
    </row>
    <row r="47" spans="2:31" ht="12.75" customHeight="1" x14ac:dyDescent="0.2">
      <c r="B47" s="5"/>
      <c r="C47" s="36"/>
      <c r="D47" s="7"/>
      <c r="E47" s="36"/>
      <c r="F47" s="86"/>
      <c r="G47" s="7"/>
      <c r="H47" s="87"/>
      <c r="I47" s="88">
        <v>0</v>
      </c>
      <c r="J47" s="89">
        <f>J24</f>
        <v>0</v>
      </c>
      <c r="K47" s="90"/>
      <c r="L47" s="38">
        <f t="shared" si="19"/>
        <v>0</v>
      </c>
      <c r="M47" s="23">
        <f t="shared" si="20"/>
        <v>0</v>
      </c>
      <c r="N47" s="23"/>
      <c r="O47" s="23">
        <f t="shared" ref="O47:P58" si="30">O10</f>
        <v>0</v>
      </c>
      <c r="P47" s="23">
        <f t="shared" si="30"/>
        <v>0</v>
      </c>
      <c r="Q47" s="23"/>
      <c r="R47" s="26">
        <f t="shared" si="21"/>
        <v>0</v>
      </c>
      <c r="S47" s="26">
        <f t="shared" si="22"/>
        <v>0</v>
      </c>
      <c r="T47" s="30" t="e">
        <f t="shared" si="23"/>
        <v>#DIV/0!</v>
      </c>
      <c r="U47" s="29">
        <f t="shared" si="17"/>
        <v>0</v>
      </c>
      <c r="V47" s="91">
        <f t="shared" si="24"/>
        <v>0</v>
      </c>
      <c r="W47" s="92" t="e">
        <f t="shared" si="25"/>
        <v>#DIV/0!</v>
      </c>
      <c r="X47" s="31" t="e">
        <f>(Z47-D66*I47)/Y47</f>
        <v>#DIV/0!</v>
      </c>
      <c r="Y47" s="29">
        <f t="shared" si="26"/>
        <v>0</v>
      </c>
      <c r="Z47" s="32">
        <f t="shared" si="27"/>
        <v>0</v>
      </c>
      <c r="AA47" s="33" t="e">
        <f t="shared" si="28"/>
        <v>#DIV/0!</v>
      </c>
      <c r="AB47" s="33" t="e">
        <f t="shared" si="29"/>
        <v>#DIV/0!</v>
      </c>
      <c r="AC47" s="113"/>
      <c r="AD47" s="114"/>
      <c r="AE47" s="114"/>
    </row>
    <row r="48" spans="2:31" ht="12.75" customHeight="1" x14ac:dyDescent="0.2">
      <c r="B48" s="5"/>
      <c r="C48" s="36"/>
      <c r="D48" s="7"/>
      <c r="E48" s="36"/>
      <c r="F48" s="86"/>
      <c r="G48" s="7"/>
      <c r="H48" s="87"/>
      <c r="I48" s="88">
        <v>0</v>
      </c>
      <c r="J48" s="89">
        <f>J24</f>
        <v>0</v>
      </c>
      <c r="K48" s="90"/>
      <c r="L48" s="38">
        <f t="shared" si="19"/>
        <v>0</v>
      </c>
      <c r="M48" s="23">
        <f t="shared" si="20"/>
        <v>0</v>
      </c>
      <c r="N48" s="23"/>
      <c r="O48" s="23">
        <f t="shared" si="30"/>
        <v>0</v>
      </c>
      <c r="P48" s="23">
        <f t="shared" si="30"/>
        <v>0</v>
      </c>
      <c r="Q48" s="23">
        <f t="shared" ref="Q48:Q58" si="31">SUM(N48:P48)</f>
        <v>0</v>
      </c>
      <c r="R48" s="26">
        <f t="shared" si="21"/>
        <v>0</v>
      </c>
      <c r="S48" s="26">
        <f t="shared" si="22"/>
        <v>0</v>
      </c>
      <c r="T48" s="30" t="e">
        <f t="shared" si="23"/>
        <v>#DIV/0!</v>
      </c>
      <c r="U48" s="29">
        <f t="shared" si="17"/>
        <v>0</v>
      </c>
      <c r="V48" s="91">
        <f t="shared" si="24"/>
        <v>0</v>
      </c>
      <c r="W48" s="92" t="e">
        <f t="shared" si="25"/>
        <v>#DIV/0!</v>
      </c>
      <c r="X48" s="31" t="e">
        <f>(Z48-D66*I48)/Y48</f>
        <v>#DIV/0!</v>
      </c>
      <c r="Y48" s="29">
        <f t="shared" si="26"/>
        <v>0</v>
      </c>
      <c r="Z48" s="32">
        <f t="shared" si="27"/>
        <v>0</v>
      </c>
      <c r="AA48" s="33" t="e">
        <f t="shared" si="28"/>
        <v>#DIV/0!</v>
      </c>
      <c r="AB48" s="33" t="e">
        <f t="shared" si="29"/>
        <v>#DIV/0!</v>
      </c>
      <c r="AC48" s="113"/>
      <c r="AD48" s="114"/>
      <c r="AE48" s="114"/>
    </row>
    <row r="49" spans="2:31" ht="12.75" customHeight="1" x14ac:dyDescent="0.2">
      <c r="B49" s="5"/>
      <c r="C49" s="36"/>
      <c r="D49" s="7"/>
      <c r="E49" s="36"/>
      <c r="F49" s="86"/>
      <c r="G49" s="7"/>
      <c r="H49" s="87"/>
      <c r="I49" s="88">
        <v>0</v>
      </c>
      <c r="J49" s="89">
        <f>J24</f>
        <v>0</v>
      </c>
      <c r="K49" s="90"/>
      <c r="L49" s="38">
        <f t="shared" si="19"/>
        <v>0</v>
      </c>
      <c r="M49" s="23">
        <f t="shared" si="20"/>
        <v>0</v>
      </c>
      <c r="N49" s="23"/>
      <c r="O49" s="23">
        <f t="shared" si="30"/>
        <v>0</v>
      </c>
      <c r="P49" s="23">
        <f t="shared" si="30"/>
        <v>0</v>
      </c>
      <c r="Q49" s="23">
        <f t="shared" si="31"/>
        <v>0</v>
      </c>
      <c r="R49" s="26">
        <f t="shared" si="21"/>
        <v>0</v>
      </c>
      <c r="S49" s="26">
        <f t="shared" si="22"/>
        <v>0</v>
      </c>
      <c r="T49" s="30" t="e">
        <f t="shared" si="23"/>
        <v>#DIV/0!</v>
      </c>
      <c r="U49" s="29">
        <f t="shared" si="17"/>
        <v>0</v>
      </c>
      <c r="V49" s="91">
        <f t="shared" si="24"/>
        <v>0</v>
      </c>
      <c r="W49" s="92" t="e">
        <f t="shared" si="25"/>
        <v>#DIV/0!</v>
      </c>
      <c r="X49" s="31" t="e">
        <f>(Z49-D66*I49)/Y49</f>
        <v>#DIV/0!</v>
      </c>
      <c r="Y49" s="29">
        <f t="shared" si="26"/>
        <v>0</v>
      </c>
      <c r="Z49" s="32">
        <f t="shared" si="27"/>
        <v>0</v>
      </c>
      <c r="AA49" s="33" t="e">
        <f t="shared" si="28"/>
        <v>#DIV/0!</v>
      </c>
      <c r="AB49" s="33" t="e">
        <f t="shared" si="29"/>
        <v>#DIV/0!</v>
      </c>
      <c r="AC49" s="113"/>
      <c r="AD49" s="114"/>
      <c r="AE49" s="114"/>
    </row>
    <row r="50" spans="2:31" ht="12.75" customHeight="1" x14ac:dyDescent="0.2">
      <c r="B50" s="5"/>
      <c r="C50" s="36"/>
      <c r="D50" s="7"/>
      <c r="E50" s="36"/>
      <c r="F50" s="86"/>
      <c r="G50" s="7"/>
      <c r="H50" s="87"/>
      <c r="I50" s="88">
        <v>0</v>
      </c>
      <c r="J50" s="89">
        <f>J24</f>
        <v>0</v>
      </c>
      <c r="K50" s="90"/>
      <c r="L50" s="38">
        <f t="shared" si="19"/>
        <v>0</v>
      </c>
      <c r="M50" s="23">
        <f t="shared" si="20"/>
        <v>0</v>
      </c>
      <c r="N50" s="23"/>
      <c r="O50" s="23">
        <f t="shared" si="30"/>
        <v>0</v>
      </c>
      <c r="P50" s="23">
        <f t="shared" si="30"/>
        <v>0</v>
      </c>
      <c r="Q50" s="23">
        <f t="shared" si="31"/>
        <v>0</v>
      </c>
      <c r="R50" s="26">
        <f t="shared" si="21"/>
        <v>0</v>
      </c>
      <c r="S50" s="26">
        <f t="shared" si="22"/>
        <v>0</v>
      </c>
      <c r="T50" s="30" t="e">
        <f t="shared" si="23"/>
        <v>#DIV/0!</v>
      </c>
      <c r="U50" s="29">
        <f t="shared" si="17"/>
        <v>0</v>
      </c>
      <c r="V50" s="91">
        <f t="shared" si="24"/>
        <v>0</v>
      </c>
      <c r="W50" s="92" t="e">
        <f t="shared" si="25"/>
        <v>#DIV/0!</v>
      </c>
      <c r="X50" s="31" t="e">
        <f>(Z50-D66*I50)/Y50</f>
        <v>#DIV/0!</v>
      </c>
      <c r="Y50" s="29">
        <f t="shared" si="26"/>
        <v>0</v>
      </c>
      <c r="Z50" s="32">
        <f t="shared" si="27"/>
        <v>0</v>
      </c>
      <c r="AA50" s="33" t="e">
        <f t="shared" si="28"/>
        <v>#DIV/0!</v>
      </c>
      <c r="AB50" s="33" t="e">
        <f t="shared" si="29"/>
        <v>#DIV/0!</v>
      </c>
      <c r="AC50" s="113"/>
      <c r="AD50" s="114"/>
      <c r="AE50" s="114"/>
    </row>
    <row r="51" spans="2:31" ht="12.75" customHeight="1" x14ac:dyDescent="0.2">
      <c r="B51" s="5"/>
      <c r="C51" s="36"/>
      <c r="D51" s="7"/>
      <c r="E51" s="36"/>
      <c r="F51" s="86"/>
      <c r="G51" s="7"/>
      <c r="H51" s="87"/>
      <c r="I51" s="88">
        <v>0</v>
      </c>
      <c r="J51" s="89">
        <f>J24</f>
        <v>0</v>
      </c>
      <c r="K51" s="93"/>
      <c r="L51" s="38">
        <f t="shared" si="19"/>
        <v>0</v>
      </c>
      <c r="M51" s="23">
        <f t="shared" si="20"/>
        <v>0</v>
      </c>
      <c r="N51" s="23"/>
      <c r="O51" s="23">
        <f t="shared" si="30"/>
        <v>0</v>
      </c>
      <c r="P51" s="23">
        <f t="shared" si="30"/>
        <v>0</v>
      </c>
      <c r="Q51" s="23">
        <f t="shared" si="31"/>
        <v>0</v>
      </c>
      <c r="R51" s="26">
        <f t="shared" si="21"/>
        <v>0</v>
      </c>
      <c r="S51" s="26">
        <f t="shared" si="22"/>
        <v>0</v>
      </c>
      <c r="T51" s="30"/>
      <c r="U51" s="29">
        <f t="shared" si="17"/>
        <v>0</v>
      </c>
      <c r="V51" s="29"/>
      <c r="W51" s="29"/>
      <c r="X51" s="31" t="e">
        <f>(Z51-D66*I51)/Y51</f>
        <v>#DIV/0!</v>
      </c>
      <c r="Y51" s="29">
        <f t="shared" si="26"/>
        <v>0</v>
      </c>
      <c r="Z51" s="32">
        <f t="shared" si="27"/>
        <v>0</v>
      </c>
      <c r="AA51" s="33" t="e">
        <f t="shared" si="28"/>
        <v>#DIV/0!</v>
      </c>
      <c r="AB51" s="33" t="e">
        <f t="shared" si="29"/>
        <v>#DIV/0!</v>
      </c>
      <c r="AC51" s="113"/>
      <c r="AD51" s="114"/>
      <c r="AE51" s="114"/>
    </row>
    <row r="52" spans="2:31" ht="12.75" customHeight="1" x14ac:dyDescent="0.2">
      <c r="B52" s="5"/>
      <c r="C52" s="36"/>
      <c r="D52" s="7"/>
      <c r="E52" s="36"/>
      <c r="F52" s="86"/>
      <c r="G52" s="7"/>
      <c r="H52" s="87"/>
      <c r="I52" s="88">
        <v>0</v>
      </c>
      <c r="J52" s="89">
        <f>J24</f>
        <v>0</v>
      </c>
      <c r="K52" s="93"/>
      <c r="L52" s="38">
        <f t="shared" si="19"/>
        <v>0</v>
      </c>
      <c r="M52" s="23">
        <f t="shared" si="20"/>
        <v>0</v>
      </c>
      <c r="N52" s="23"/>
      <c r="O52" s="23">
        <f t="shared" si="30"/>
        <v>0</v>
      </c>
      <c r="P52" s="23">
        <f t="shared" si="30"/>
        <v>0</v>
      </c>
      <c r="Q52" s="23">
        <f t="shared" si="31"/>
        <v>0</v>
      </c>
      <c r="R52" s="26">
        <f t="shared" si="21"/>
        <v>0</v>
      </c>
      <c r="S52" s="26">
        <f t="shared" si="22"/>
        <v>0</v>
      </c>
      <c r="T52" s="30"/>
      <c r="U52" s="29">
        <f t="shared" si="17"/>
        <v>0</v>
      </c>
      <c r="V52" s="29"/>
      <c r="W52" s="29"/>
      <c r="X52" s="31" t="e">
        <f>(Z52-D66*I52)/Y52</f>
        <v>#DIV/0!</v>
      </c>
      <c r="Y52" s="29">
        <f t="shared" si="26"/>
        <v>0</v>
      </c>
      <c r="Z52" s="32">
        <f t="shared" si="27"/>
        <v>0</v>
      </c>
      <c r="AA52" s="33" t="e">
        <f t="shared" si="28"/>
        <v>#DIV/0!</v>
      </c>
      <c r="AB52" s="33" t="e">
        <f t="shared" si="29"/>
        <v>#DIV/0!</v>
      </c>
      <c r="AC52" s="113"/>
      <c r="AD52" s="114"/>
      <c r="AE52" s="114"/>
    </row>
    <row r="53" spans="2:31" ht="12.75" customHeight="1" x14ac:dyDescent="0.2">
      <c r="B53" s="5"/>
      <c r="C53" s="36"/>
      <c r="D53" s="7"/>
      <c r="E53" s="36"/>
      <c r="F53" s="86"/>
      <c r="G53" s="7"/>
      <c r="H53" s="87"/>
      <c r="I53" s="88">
        <v>0</v>
      </c>
      <c r="J53" s="89">
        <f>J24</f>
        <v>0</v>
      </c>
      <c r="K53" s="93"/>
      <c r="L53" s="38">
        <f t="shared" si="19"/>
        <v>0</v>
      </c>
      <c r="M53" s="23">
        <f t="shared" si="20"/>
        <v>0</v>
      </c>
      <c r="N53" s="23"/>
      <c r="O53" s="23">
        <f t="shared" si="30"/>
        <v>0</v>
      </c>
      <c r="P53" s="23">
        <f t="shared" si="30"/>
        <v>0</v>
      </c>
      <c r="Q53" s="23">
        <f t="shared" si="31"/>
        <v>0</v>
      </c>
      <c r="R53" s="26">
        <f t="shared" si="21"/>
        <v>0</v>
      </c>
      <c r="S53" s="26">
        <f t="shared" si="22"/>
        <v>0</v>
      </c>
      <c r="T53" s="30"/>
      <c r="U53" s="29">
        <f t="shared" si="17"/>
        <v>0</v>
      </c>
      <c r="V53" s="29"/>
      <c r="W53" s="29"/>
      <c r="X53" s="31" t="e">
        <f>(Z53-D66*I53)/Y53</f>
        <v>#DIV/0!</v>
      </c>
      <c r="Y53" s="29">
        <f t="shared" si="26"/>
        <v>0</v>
      </c>
      <c r="Z53" s="32">
        <f t="shared" si="27"/>
        <v>0</v>
      </c>
      <c r="AA53" s="33" t="e">
        <f t="shared" si="28"/>
        <v>#DIV/0!</v>
      </c>
      <c r="AB53" s="33" t="e">
        <f t="shared" si="29"/>
        <v>#DIV/0!</v>
      </c>
      <c r="AC53" s="113"/>
      <c r="AD53" s="114"/>
      <c r="AE53" s="114"/>
    </row>
    <row r="54" spans="2:31" ht="12.75" customHeight="1" x14ac:dyDescent="0.2">
      <c r="B54" s="5"/>
      <c r="C54" s="36"/>
      <c r="D54" s="7"/>
      <c r="E54" s="36"/>
      <c r="F54" s="86"/>
      <c r="G54" s="7"/>
      <c r="H54" s="87"/>
      <c r="I54" s="88">
        <v>0</v>
      </c>
      <c r="J54" s="89">
        <f>J24</f>
        <v>0</v>
      </c>
      <c r="K54" s="93"/>
      <c r="L54" s="38">
        <f t="shared" si="19"/>
        <v>0</v>
      </c>
      <c r="M54" s="23">
        <f t="shared" si="20"/>
        <v>0</v>
      </c>
      <c r="N54" s="23"/>
      <c r="O54" s="23">
        <f t="shared" si="30"/>
        <v>0</v>
      </c>
      <c r="P54" s="23">
        <f t="shared" si="30"/>
        <v>0</v>
      </c>
      <c r="Q54" s="23">
        <f t="shared" si="31"/>
        <v>0</v>
      </c>
      <c r="R54" s="26">
        <f t="shared" si="21"/>
        <v>0</v>
      </c>
      <c r="S54" s="26">
        <f t="shared" si="22"/>
        <v>0</v>
      </c>
      <c r="T54" s="30"/>
      <c r="U54" s="29">
        <f t="shared" si="17"/>
        <v>0</v>
      </c>
      <c r="V54" s="29"/>
      <c r="W54" s="29"/>
      <c r="X54" s="31" t="e">
        <f>(Z54-D66*I54)/Y54</f>
        <v>#DIV/0!</v>
      </c>
      <c r="Y54" s="29">
        <f t="shared" si="26"/>
        <v>0</v>
      </c>
      <c r="Z54" s="32">
        <f t="shared" si="27"/>
        <v>0</v>
      </c>
      <c r="AA54" s="33" t="e">
        <f t="shared" si="28"/>
        <v>#DIV/0!</v>
      </c>
      <c r="AB54" s="33" t="e">
        <f t="shared" si="29"/>
        <v>#DIV/0!</v>
      </c>
      <c r="AC54" s="113"/>
      <c r="AD54" s="114"/>
      <c r="AE54" s="114"/>
    </row>
    <row r="55" spans="2:31" ht="12.75" customHeight="1" x14ac:dyDescent="0.2">
      <c r="B55" s="5"/>
      <c r="C55" s="36"/>
      <c r="D55" s="7"/>
      <c r="E55" s="36"/>
      <c r="F55" s="86"/>
      <c r="G55" s="7"/>
      <c r="H55" s="87"/>
      <c r="I55" s="88">
        <v>0</v>
      </c>
      <c r="J55" s="89">
        <f>J24</f>
        <v>0</v>
      </c>
      <c r="K55" s="93"/>
      <c r="L55" s="38">
        <f t="shared" si="19"/>
        <v>0</v>
      </c>
      <c r="M55" s="23">
        <f t="shared" si="20"/>
        <v>0</v>
      </c>
      <c r="N55" s="23"/>
      <c r="O55" s="23">
        <f t="shared" si="30"/>
        <v>0</v>
      </c>
      <c r="P55" s="23">
        <f t="shared" si="30"/>
        <v>0</v>
      </c>
      <c r="Q55" s="23">
        <f t="shared" si="31"/>
        <v>0</v>
      </c>
      <c r="R55" s="26">
        <f t="shared" si="21"/>
        <v>0</v>
      </c>
      <c r="S55" s="26">
        <f t="shared" si="22"/>
        <v>0</v>
      </c>
      <c r="T55" s="30"/>
      <c r="U55" s="29">
        <f t="shared" si="17"/>
        <v>0</v>
      </c>
      <c r="V55" s="29"/>
      <c r="W55" s="29"/>
      <c r="X55" s="31" t="e">
        <f>(Z55-D66*I55)/Y55</f>
        <v>#DIV/0!</v>
      </c>
      <c r="Y55" s="29">
        <f t="shared" si="26"/>
        <v>0</v>
      </c>
      <c r="Z55" s="32">
        <f t="shared" si="27"/>
        <v>0</v>
      </c>
      <c r="AA55" s="33" t="e">
        <f t="shared" si="28"/>
        <v>#DIV/0!</v>
      </c>
      <c r="AB55" s="33" t="e">
        <f t="shared" si="29"/>
        <v>#DIV/0!</v>
      </c>
      <c r="AC55" s="113"/>
      <c r="AD55" s="114"/>
      <c r="AE55" s="114"/>
    </row>
    <row r="56" spans="2:31" ht="12.75" customHeight="1" x14ac:dyDescent="0.2">
      <c r="B56" s="5"/>
      <c r="C56" s="36"/>
      <c r="D56" s="7"/>
      <c r="E56" s="36"/>
      <c r="F56" s="86"/>
      <c r="G56" s="7"/>
      <c r="H56" s="87"/>
      <c r="I56" s="88">
        <v>0</v>
      </c>
      <c r="J56" s="89">
        <f>J24</f>
        <v>0</v>
      </c>
      <c r="K56" s="93"/>
      <c r="L56" s="38">
        <f t="shared" si="19"/>
        <v>0</v>
      </c>
      <c r="M56" s="23">
        <f t="shared" si="20"/>
        <v>0</v>
      </c>
      <c r="N56" s="23"/>
      <c r="O56" s="23">
        <f t="shared" si="30"/>
        <v>0</v>
      </c>
      <c r="P56" s="23">
        <f t="shared" si="30"/>
        <v>0</v>
      </c>
      <c r="Q56" s="23">
        <f t="shared" si="31"/>
        <v>0</v>
      </c>
      <c r="R56" s="26">
        <f t="shared" si="21"/>
        <v>0</v>
      </c>
      <c r="S56" s="26">
        <f t="shared" si="22"/>
        <v>0</v>
      </c>
      <c r="T56" s="30"/>
      <c r="U56" s="29">
        <f t="shared" si="17"/>
        <v>0</v>
      </c>
      <c r="V56" s="29"/>
      <c r="W56" s="29"/>
      <c r="X56" s="31" t="e">
        <f>(Z56-D66*I56)/Y56</f>
        <v>#DIV/0!</v>
      </c>
      <c r="Y56" s="29">
        <f t="shared" si="26"/>
        <v>0</v>
      </c>
      <c r="Z56" s="32">
        <f t="shared" si="27"/>
        <v>0</v>
      </c>
      <c r="AA56" s="33" t="e">
        <f t="shared" si="28"/>
        <v>#DIV/0!</v>
      </c>
      <c r="AB56" s="33" t="e">
        <f t="shared" si="29"/>
        <v>#DIV/0!</v>
      </c>
      <c r="AC56" s="113"/>
      <c r="AD56" s="114"/>
      <c r="AE56" s="114"/>
    </row>
    <row r="57" spans="2:31" ht="12.75" customHeight="1" x14ac:dyDescent="0.2">
      <c r="B57" s="5"/>
      <c r="C57" s="36"/>
      <c r="D57" s="7"/>
      <c r="E57" s="36"/>
      <c r="F57" s="86"/>
      <c r="G57" s="7"/>
      <c r="H57" s="87"/>
      <c r="I57" s="88">
        <v>0</v>
      </c>
      <c r="J57" s="89">
        <f>J24</f>
        <v>0</v>
      </c>
      <c r="K57" s="93"/>
      <c r="L57" s="38">
        <f t="shared" si="19"/>
        <v>0</v>
      </c>
      <c r="M57" s="23">
        <f t="shared" si="20"/>
        <v>0</v>
      </c>
      <c r="N57" s="23"/>
      <c r="O57" s="23">
        <f t="shared" si="30"/>
        <v>0</v>
      </c>
      <c r="P57" s="23">
        <f t="shared" si="30"/>
        <v>0</v>
      </c>
      <c r="Q57" s="23">
        <f t="shared" si="31"/>
        <v>0</v>
      </c>
      <c r="R57" s="26">
        <f t="shared" si="21"/>
        <v>0</v>
      </c>
      <c r="S57" s="26">
        <f t="shared" si="22"/>
        <v>0</v>
      </c>
      <c r="T57" s="30"/>
      <c r="U57" s="29">
        <f t="shared" si="17"/>
        <v>0</v>
      </c>
      <c r="V57" s="29"/>
      <c r="W57" s="29"/>
      <c r="X57" s="31" t="e">
        <f>(Z57-D66*I57)/Y57</f>
        <v>#DIV/0!</v>
      </c>
      <c r="Y57" s="29">
        <f t="shared" si="26"/>
        <v>0</v>
      </c>
      <c r="Z57" s="32">
        <f t="shared" si="27"/>
        <v>0</v>
      </c>
      <c r="AA57" s="33" t="e">
        <f t="shared" si="28"/>
        <v>#DIV/0!</v>
      </c>
      <c r="AB57" s="33" t="e">
        <f t="shared" si="29"/>
        <v>#DIV/0!</v>
      </c>
      <c r="AC57" s="113"/>
      <c r="AD57" s="114"/>
      <c r="AE57" s="114"/>
    </row>
    <row r="58" spans="2:31" ht="12.75" customHeight="1" x14ac:dyDescent="0.2">
      <c r="B58" s="5"/>
      <c r="C58" s="36"/>
      <c r="D58" s="7"/>
      <c r="E58" s="36"/>
      <c r="F58" s="86"/>
      <c r="G58" s="7"/>
      <c r="H58" s="87"/>
      <c r="I58" s="88">
        <v>0</v>
      </c>
      <c r="J58" s="89">
        <f>J24</f>
        <v>0</v>
      </c>
      <c r="K58" s="94"/>
      <c r="L58" s="38">
        <f t="shared" si="19"/>
        <v>0</v>
      </c>
      <c r="M58" s="23">
        <f t="shared" si="20"/>
        <v>0</v>
      </c>
      <c r="N58" s="23"/>
      <c r="O58" s="23">
        <f t="shared" si="30"/>
        <v>0</v>
      </c>
      <c r="P58" s="23">
        <f t="shared" si="30"/>
        <v>0</v>
      </c>
      <c r="Q58" s="23">
        <f t="shared" si="31"/>
        <v>0</v>
      </c>
      <c r="R58" s="26">
        <f t="shared" si="21"/>
        <v>0</v>
      </c>
      <c r="S58" s="26">
        <f t="shared" si="22"/>
        <v>0</v>
      </c>
      <c r="T58" s="30"/>
      <c r="U58" s="29">
        <f t="shared" si="17"/>
        <v>0</v>
      </c>
      <c r="V58" s="29"/>
      <c r="W58" s="29"/>
      <c r="X58" s="31" t="e">
        <f>(Z58-D66*I58)/Y58</f>
        <v>#DIV/0!</v>
      </c>
      <c r="Y58" s="29">
        <f t="shared" si="26"/>
        <v>0</v>
      </c>
      <c r="Z58" s="32">
        <f t="shared" si="27"/>
        <v>0</v>
      </c>
      <c r="AA58" s="33" t="e">
        <f t="shared" si="28"/>
        <v>#DIV/0!</v>
      </c>
      <c r="AB58" s="33" t="e">
        <f t="shared" si="29"/>
        <v>#DIV/0!</v>
      </c>
      <c r="AC58" s="113"/>
      <c r="AD58" s="114"/>
      <c r="AE58" s="114"/>
    </row>
    <row r="59" spans="2:31" x14ac:dyDescent="0.2">
      <c r="I59" s="95">
        <f>SUM(I45:I58)</f>
        <v>0</v>
      </c>
      <c r="J59" s="40"/>
      <c r="K59" s="96">
        <f>SUM(K45:K58)</f>
        <v>0</v>
      </c>
      <c r="L59" s="42"/>
      <c r="M59" s="43">
        <f>SUM(M45:M58)</f>
        <v>0</v>
      </c>
      <c r="S59" s="43">
        <f>SUM(S45:S58)</f>
        <v>0</v>
      </c>
      <c r="T59" s="97"/>
      <c r="U59" s="97"/>
      <c r="V59" s="97"/>
      <c r="W59" s="97"/>
      <c r="X59" s="42"/>
      <c r="Y59" s="44">
        <f>SUM(Y45:Y58)</f>
        <v>0</v>
      </c>
      <c r="Z59" s="44">
        <f>SUM(Z45:Z58)</f>
        <v>0</v>
      </c>
      <c r="AA59" s="33" t="e">
        <f t="shared" ref="AA59" si="32">Z59/Y59</f>
        <v>#DIV/0!</v>
      </c>
      <c r="AB59" s="33" t="e">
        <f t="shared" ref="AB59" si="33">Z59/S59</f>
        <v>#DIV/0!</v>
      </c>
      <c r="AC59" s="45"/>
      <c r="AD59" s="45"/>
    </row>
    <row r="60" spans="2:31" ht="25.5" customHeight="1" x14ac:dyDescent="0.2">
      <c r="B60" s="46"/>
      <c r="C60" s="47"/>
      <c r="D60" s="48" t="s">
        <v>37</v>
      </c>
      <c r="E60" s="49" t="s">
        <v>38</v>
      </c>
      <c r="F60" s="48" t="s">
        <v>39</v>
      </c>
      <c r="G60" s="50" t="s">
        <v>40</v>
      </c>
      <c r="Y60" s="98"/>
      <c r="AC60" s="99">
        <f>AC45*0.08</f>
        <v>0</v>
      </c>
    </row>
    <row r="61" spans="2:31" ht="13.5" customHeight="1" x14ac:dyDescent="0.2">
      <c r="B61" s="117" t="s">
        <v>41</v>
      </c>
      <c r="C61" s="118"/>
      <c r="D61" s="52">
        <v>5000</v>
      </c>
      <c r="E61" s="52"/>
      <c r="F61" s="53" t="e">
        <f>G61/Y59</f>
        <v>#DIV/0!</v>
      </c>
      <c r="G61" s="54">
        <f>I59*D61</f>
        <v>0</v>
      </c>
      <c r="Y61" s="100"/>
    </row>
    <row r="62" spans="2:31" ht="13.5" customHeight="1" x14ac:dyDescent="0.2">
      <c r="B62" s="115" t="s">
        <v>54</v>
      </c>
      <c r="C62" s="116"/>
      <c r="D62" s="52">
        <f>D25</f>
        <v>0</v>
      </c>
      <c r="E62" s="51">
        <f>IF(B62="ДП за наличные",D62*1.5,IF(B62="ДП на расч.счет",D62,0))</f>
        <v>0</v>
      </c>
      <c r="F62" s="58" t="e">
        <f>G62/(AC45/1.2)</f>
        <v>#DIV/0!</v>
      </c>
      <c r="G62" s="54">
        <f>I59*D62</f>
        <v>0</v>
      </c>
      <c r="T62" s="42"/>
    </row>
    <row r="63" spans="2:31" ht="13.5" customHeight="1" x14ac:dyDescent="0.2">
      <c r="B63" s="125" t="s">
        <v>42</v>
      </c>
      <c r="C63" s="126"/>
      <c r="D63" s="59" t="e">
        <f>G63/I59</f>
        <v>#DIV/0!</v>
      </c>
      <c r="E63" s="59"/>
      <c r="F63" s="58">
        <f>F26</f>
        <v>0</v>
      </c>
      <c r="G63" s="54">
        <f>-F63*M59</f>
        <v>0</v>
      </c>
    </row>
    <row r="64" spans="2:31" ht="13.5" customHeight="1" x14ac:dyDescent="0.2">
      <c r="B64" s="125" t="s">
        <v>43</v>
      </c>
      <c r="C64" s="126"/>
      <c r="D64" s="59" t="e">
        <f>G64/I59</f>
        <v>#DIV/0!</v>
      </c>
      <c r="E64" s="59"/>
      <c r="F64" s="58">
        <f>F27</f>
        <v>0</v>
      </c>
      <c r="G64" s="54">
        <f>F64*M59</f>
        <v>0</v>
      </c>
    </row>
    <row r="65" spans="2:7" ht="13.5" customHeight="1" x14ac:dyDescent="0.2">
      <c r="B65" s="125" t="s">
        <v>44</v>
      </c>
      <c r="C65" s="126"/>
      <c r="D65" s="59" t="e">
        <f>G65/I59</f>
        <v>#DIV/0!</v>
      </c>
      <c r="E65" s="59"/>
      <c r="F65" s="58">
        <f>F28</f>
        <v>0.14000000000000001</v>
      </c>
      <c r="G65" s="61">
        <f>E75</f>
        <v>0</v>
      </c>
    </row>
    <row r="66" spans="2:7" ht="13.5" customHeight="1" x14ac:dyDescent="0.2">
      <c r="B66" s="62"/>
      <c r="C66" s="47"/>
      <c r="D66" s="63" t="e">
        <f>G66/I59</f>
        <v>#DIV/0!</v>
      </c>
      <c r="E66" s="63"/>
      <c r="F66" s="64"/>
      <c r="G66" s="65">
        <f>SUM(G61:G65)</f>
        <v>0</v>
      </c>
    </row>
    <row r="67" spans="2:7" x14ac:dyDescent="0.2">
      <c r="B67" s="2"/>
      <c r="C67" s="66"/>
      <c r="D67" s="67"/>
      <c r="E67" s="68"/>
      <c r="F67" s="59"/>
    </row>
    <row r="68" spans="2:7" x14ac:dyDescent="0.2">
      <c r="B68" s="2"/>
    </row>
    <row r="69" spans="2:7" ht="38.25" customHeight="1" x14ac:dyDescent="0.2">
      <c r="B69" s="69" t="s">
        <v>45</v>
      </c>
      <c r="C69" s="70" t="s">
        <v>39</v>
      </c>
      <c r="D69" s="71" t="s">
        <v>46</v>
      </c>
      <c r="E69" s="72" t="s">
        <v>47</v>
      </c>
    </row>
    <row r="70" spans="2:7" x14ac:dyDescent="0.2">
      <c r="B70" s="101">
        <v>45</v>
      </c>
      <c r="C70" s="102">
        <v>1</v>
      </c>
      <c r="D70" s="75">
        <f t="shared" ref="D70:D74" si="34">IF(C70=0,0,IF(B70=0,182,IFERROR(365/(B70+1)*C70,0)))</f>
        <v>7.9347826086956523</v>
      </c>
      <c r="E70" s="76">
        <f>$F$28/365*B70*C70*M59</f>
        <v>0</v>
      </c>
    </row>
    <row r="71" spans="2:7" x14ac:dyDescent="0.2">
      <c r="B71" s="101">
        <f t="shared" ref="B71:C74" si="35">B34</f>
        <v>0</v>
      </c>
      <c r="C71" s="102">
        <f t="shared" si="35"/>
        <v>0</v>
      </c>
      <c r="D71" s="75">
        <f t="shared" si="34"/>
        <v>0</v>
      </c>
      <c r="E71" s="76">
        <f>$F$28/365*B71*C71*M59</f>
        <v>0</v>
      </c>
    </row>
    <row r="72" spans="2:7" x14ac:dyDescent="0.2">
      <c r="B72" s="101">
        <f t="shared" si="35"/>
        <v>0</v>
      </c>
      <c r="C72" s="102">
        <f t="shared" si="35"/>
        <v>0</v>
      </c>
      <c r="D72" s="75">
        <f t="shared" si="34"/>
        <v>0</v>
      </c>
      <c r="E72" s="76">
        <f>$F$28/365*B72*C72*M59</f>
        <v>0</v>
      </c>
    </row>
    <row r="73" spans="2:7" x14ac:dyDescent="0.2">
      <c r="B73" s="101">
        <f t="shared" si="35"/>
        <v>0</v>
      </c>
      <c r="C73" s="102">
        <f t="shared" si="35"/>
        <v>0</v>
      </c>
      <c r="D73" s="75">
        <f t="shared" si="34"/>
        <v>0</v>
      </c>
      <c r="E73" s="76">
        <f>$F$28/365*B73*C73*M59</f>
        <v>0</v>
      </c>
    </row>
    <row r="74" spans="2:7" x14ac:dyDescent="0.2">
      <c r="B74" s="101">
        <f t="shared" si="35"/>
        <v>0</v>
      </c>
      <c r="C74" s="102">
        <f t="shared" si="35"/>
        <v>0</v>
      </c>
      <c r="D74" s="75">
        <f t="shared" si="34"/>
        <v>0</v>
      </c>
      <c r="E74" s="76">
        <f>$F$28/365*B74*C74*M59</f>
        <v>0</v>
      </c>
    </row>
    <row r="75" spans="2:7" x14ac:dyDescent="0.2">
      <c r="B75" s="62"/>
      <c r="C75" s="77">
        <f>SUM(C70:C74)</f>
        <v>1</v>
      </c>
      <c r="D75" s="78">
        <f>SUM(D70:D74)</f>
        <v>7.9347826086956523</v>
      </c>
      <c r="E75" s="79">
        <f>SUM(E70:E74)</f>
        <v>0</v>
      </c>
      <c r="F75" s="59"/>
    </row>
    <row r="76" spans="2:7" x14ac:dyDescent="0.2">
      <c r="B76" s="2"/>
      <c r="C76" s="45" t="e">
        <f>D75*AD45</f>
        <v>#DIV/0!</v>
      </c>
      <c r="D76" s="59" t="s">
        <v>48</v>
      </c>
      <c r="E76" s="59"/>
      <c r="F76" s="59"/>
    </row>
  </sheetData>
  <mergeCells count="23">
    <mergeCell ref="B63:C63"/>
    <mergeCell ref="B64:C64"/>
    <mergeCell ref="B65:C65"/>
    <mergeCell ref="AC45:AC58"/>
    <mergeCell ref="AD45:AD58"/>
    <mergeCell ref="B24:C24"/>
    <mergeCell ref="B25:C25"/>
    <mergeCell ref="AE45:AE58"/>
    <mergeCell ref="B61:C61"/>
    <mergeCell ref="B62:C62"/>
    <mergeCell ref="B26:C26"/>
    <mergeCell ref="B27:C27"/>
    <mergeCell ref="B28:C28"/>
    <mergeCell ref="I43:S43"/>
    <mergeCell ref="T43:AE43"/>
    <mergeCell ref="AF6:AF7"/>
    <mergeCell ref="I5:M5"/>
    <mergeCell ref="N5:S5"/>
    <mergeCell ref="I6:S6"/>
    <mergeCell ref="T6:AE6"/>
    <mergeCell ref="AC8:AC21"/>
    <mergeCell ref="AD8:AD21"/>
    <mergeCell ref="AE8:AE21"/>
  </mergeCells>
  <conditionalFormatting sqref="F25">
    <cfRule type="cellIs" dxfId="8" priority="9" operator="greaterThan">
      <formula>0.15</formula>
    </cfRule>
  </conditionalFormatting>
  <conditionalFormatting sqref="C38">
    <cfRule type="cellIs" dxfId="7" priority="6" operator="greaterThan">
      <formula>1</formula>
    </cfRule>
    <cfRule type="cellIs" dxfId="6" priority="7" operator="lessThan">
      <formula>1</formula>
    </cfRule>
    <cfRule type="cellIs" dxfId="5" priority="8" operator="equal">
      <formula>1</formula>
    </cfRule>
  </conditionalFormatting>
  <conditionalFormatting sqref="C75">
    <cfRule type="cellIs" dxfId="4" priority="2" operator="greaterThan">
      <formula>1</formula>
    </cfRule>
    <cfRule type="cellIs" dxfId="3" priority="3" operator="lessThan">
      <formula>1</formula>
    </cfRule>
    <cfRule type="cellIs" dxfId="2" priority="4" operator="equal">
      <formula>1</formula>
    </cfRule>
  </conditionalFormatting>
  <conditionalFormatting sqref="F62">
    <cfRule type="cellIs" dxfId="1" priority="1" operator="greaterThan">
      <formula>0.15</formula>
    </cfRule>
    <cfRule type="cellIs" dxfId="0" priority="5" operator="greaterThan">
      <formula>0.15</formula>
    </cfRule>
  </conditionalFormatting>
  <pageMargins left="0.7" right="0.7" top="0.75" bottom="0.75" header="0.3" footer="0.3"/>
  <pageSetup paperSize="9" scale="32" orientation="landscape" useFirstPageNumber="1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4"/>
  <sheetViews>
    <sheetView zoomScaleNormal="100" workbookViewId="0">
      <selection activeCell="C3" sqref="C3"/>
    </sheetView>
  </sheetViews>
  <sheetFormatPr defaultRowHeight="12.75" customHeight="1" x14ac:dyDescent="0.25"/>
  <sheetData>
    <row r="3" spans="2:3" x14ac:dyDescent="0.25">
      <c r="B3" t="s">
        <v>55</v>
      </c>
      <c r="C3" t="s">
        <v>56</v>
      </c>
    </row>
    <row r="4" spans="2:3" x14ac:dyDescent="0.25">
      <c r="B4" t="s">
        <v>57</v>
      </c>
      <c r="C4" t="s">
        <v>58</v>
      </c>
    </row>
    <row r="5" spans="2:3" x14ac:dyDescent="0.25">
      <c r="B5" t="s">
        <v>1</v>
      </c>
      <c r="C5" t="s">
        <v>59</v>
      </c>
    </row>
    <row r="6" spans="2:3" x14ac:dyDescent="0.25">
      <c r="B6" t="s">
        <v>60</v>
      </c>
      <c r="C6" t="s">
        <v>61</v>
      </c>
    </row>
    <row r="7" spans="2:3" x14ac:dyDescent="0.25">
      <c r="B7" t="s">
        <v>62</v>
      </c>
      <c r="C7" t="s">
        <v>63</v>
      </c>
    </row>
    <row r="8" spans="2:3" x14ac:dyDescent="0.25">
      <c r="C8" t="s">
        <v>64</v>
      </c>
    </row>
    <row r="9" spans="2:3" x14ac:dyDescent="0.25">
      <c r="C9" t="s">
        <v>65</v>
      </c>
    </row>
    <row r="10" spans="2:3" x14ac:dyDescent="0.25">
      <c r="C10" t="s">
        <v>66</v>
      </c>
    </row>
    <row r="11" spans="2:3" x14ac:dyDescent="0.25">
      <c r="C11" t="s">
        <v>67</v>
      </c>
    </row>
    <row r="12" spans="2:3" x14ac:dyDescent="0.25">
      <c r="C12" t="s">
        <v>68</v>
      </c>
    </row>
    <row r="13" spans="2:3" x14ac:dyDescent="0.25">
      <c r="C13" t="s">
        <v>69</v>
      </c>
    </row>
    <row r="14" spans="2:3" x14ac:dyDescent="0.25">
      <c r="C1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B6"/>
  <sheetViews>
    <sheetView zoomScaleNormal="100" workbookViewId="0">
      <selection activeCell="B6" sqref="B6"/>
    </sheetView>
  </sheetViews>
  <sheetFormatPr defaultRowHeight="12.75" customHeight="1" x14ac:dyDescent="0.25"/>
  <cols>
    <col min="2" max="2" width="14.7109375" customWidth="1"/>
  </cols>
  <sheetData>
    <row r="5" spans="2:2" x14ac:dyDescent="0.25">
      <c r="B5" s="103" t="s">
        <v>71</v>
      </c>
    </row>
    <row r="6" spans="2:2" x14ac:dyDescent="0.25">
      <c r="B6" s="10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Расчет</vt:lpstr>
      <vt:lpstr>валюта</vt:lpstr>
      <vt:lpstr>техлист</vt:lpstr>
      <vt:lpstr>Расчет!Область_печати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2017-03-29T12:31:29Z</cp:lastPrinted>
  <dcterms:created xsi:type="dcterms:W3CDTF">2013-11-19T05:36:49Z</dcterms:created>
  <dcterms:modified xsi:type="dcterms:W3CDTF">2026-09-01T05:38:58Z</dcterms:modified>
</cp:coreProperties>
</file>